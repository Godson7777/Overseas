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0" autoFilterDateGrouping="1"/>
  </bookViews>
  <sheets>
    <sheet xmlns:r="http://schemas.openxmlformats.org/officeDocument/2006/relationships" name="Assumptions" sheetId="1" state="visible" r:id="rId1"/>
    <sheet xmlns:r="http://schemas.openxmlformats.org/officeDocument/2006/relationships" name="Raw Data" sheetId="2" state="visible" r:id="rId2"/>
    <sheet xmlns:r="http://schemas.openxmlformats.org/officeDocument/2006/relationships" name="Notes" sheetId="3" state="visible" r:id="rId3"/>
  </sheets>
  <definedNames/>
  <calcPr calcId="191029" fullCalcOnLoad="1"/>
</workbook>
</file>

<file path=xl/styles.xml><?xml version="1.0" encoding="utf-8"?>
<styleSheet xmlns="http://schemas.openxmlformats.org/spreadsheetml/2006/main">
  <numFmts count="0"/>
  <fonts count="7">
    <font>
      <name val="Calibri"/>
      <charset val="1"/>
      <family val="2"/>
      <color theme="1"/>
      <sz val="11"/>
    </font>
    <font>
      <name val="Calibri"/>
      <family val="2"/>
      <color theme="1"/>
      <sz val="11"/>
      <scheme val="minor"/>
    </font>
    <font>
      <name val="Arial"/>
      <family val="2"/>
      <sz val="10"/>
    </font>
    <font>
      <name val="Arial"/>
      <family val="2"/>
      <b val="1"/>
      <color rgb="FFFFFFFF"/>
      <sz val="10"/>
    </font>
    <font>
      <name val="Arial"/>
      <family val="2"/>
      <b val="1"/>
      <sz val="10"/>
    </font>
    <font>
      <name val="Arial"/>
      <family val="2"/>
      <color rgb="FF0000FF"/>
      <sz val="10"/>
    </font>
    <font>
      <name val="Arial"/>
      <family val="2"/>
      <sz val="10"/>
    </font>
  </fonts>
  <fills count="3">
    <fill>
      <patternFill/>
    </fill>
    <fill>
      <patternFill patternType="gray125"/>
    </fill>
    <fill>
      <patternFill patternType="solid">
        <fgColor rgb="FF3D3D3D"/>
        <bgColor rgb="FF333300"/>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s>
  <cellStyleXfs count="2">
    <xf numFmtId="0" fontId="0" fillId="0" borderId="0"/>
    <xf numFmtId="0" fontId="1" fillId="0" borderId="0"/>
  </cellStyleXfs>
  <cellXfs count="19">
    <xf numFmtId="0" fontId="0" fillId="0" borderId="0" pivotButton="0" quotePrefix="0" xfId="0"/>
    <xf numFmtId="0" fontId="3" fillId="2" borderId="0" pivotButton="0" quotePrefix="0" xfId="0"/>
    <xf numFmtId="0" fontId="4" fillId="0" borderId="1" pivotButton="0" quotePrefix="0" xfId="0"/>
    <xf numFmtId="0" fontId="5" fillId="0" borderId="1" pivotButton="0" quotePrefix="0" xfId="0"/>
    <xf numFmtId="0" fontId="6" fillId="0" borderId="1" applyAlignment="1" pivotButton="0" quotePrefix="0" xfId="0">
      <alignment vertical="top" wrapText="1"/>
    </xf>
    <xf numFmtId="0" fontId="6" fillId="0" borderId="1" pivotButton="0" quotePrefix="0" xfId="0"/>
    <xf numFmtId="0" fontId="3" fillId="2" borderId="0" applyAlignment="1" pivotButton="0" quotePrefix="0" xfId="0">
      <alignment horizontal="center" vertical="center" wrapText="1"/>
    </xf>
    <xf numFmtId="4" fontId="6" fillId="0" borderId="1" pivotButton="0" quotePrefix="0" xfId="0"/>
    <xf numFmtId="2" fontId="6" fillId="0" borderId="1" pivotButton="0" quotePrefix="0" xfId="0"/>
    <xf numFmtId="3" fontId="6" fillId="0" borderId="1" pivotButton="0" quotePrefix="0" xfId="0"/>
    <xf numFmtId="2" fontId="5" fillId="0" borderId="1" pivotButton="0" quotePrefix="0" xfId="0"/>
    <xf numFmtId="0" fontId="2" fillId="0" borderId="1" pivotButton="0" quotePrefix="0" xfId="0"/>
    <xf numFmtId="49" fontId="3" fillId="2" borderId="0" applyAlignment="1" pivotButton="0" quotePrefix="0" xfId="0">
      <alignment vertical="center" wrapText="1"/>
    </xf>
    <xf numFmtId="49" fontId="6" fillId="0" borderId="1" pivotButton="0" quotePrefix="0" xfId="0"/>
    <xf numFmtId="49" fontId="2" fillId="0" borderId="1" pivotButton="0" quotePrefix="0" xfId="0"/>
    <xf numFmtId="49" fontId="0" fillId="0" borderId="0" pivotButton="0" quotePrefix="0" xfId="0"/>
    <xf numFmtId="0" fontId="0" fillId="0" borderId="0" pivotButton="0" quotePrefix="0" xfId="0"/>
    <xf numFmtId="3" fontId="2" fillId="0" borderId="2" pivotButton="0" quotePrefix="0" xfId="0"/>
    <xf numFmtId="49" fontId="0" fillId="0" borderId="0" pivotButton="0" quotePrefix="0" xfId="0"/>
  </cellXfs>
  <cellStyles count="2">
    <cellStyle name="Normal" xfId="0" builtinId="0"/>
    <cellStyle name="Normal 2" xfId="1"/>
  </cellStyles>
  <dxfs count="22">
    <dxf>
      <border outline="0">
        <left/>
        <right/>
        <top/>
        <bottom/>
      </border>
    </dxf>
    <dxf>
      <border outline="0">
        <left/>
        <right/>
        <top/>
        <bottom/>
      </border>
    </dxf>
    <dxf>
      <numFmt numFmtId="30" formatCode="@"/>
      <alignment horizontal="general" vertical="bottom"/>
      <border outline="0">
        <left/>
        <right/>
        <top/>
        <bottom/>
      </border>
    </dxf>
    <dxf>
      <border outline="0">
        <left/>
        <right/>
        <top/>
        <bottom/>
      </border>
    </dxf>
    <dxf>
      <border outline="0">
        <left/>
        <right/>
        <top/>
        <bottom/>
      </border>
    </dxf>
    <dxf>
      <font>
        <name val="Arial"/>
        <family val="2"/>
        <strike val="0"/>
        <outline val="0"/>
        <shadow val="0"/>
        <condense val="0"/>
        <color auto="1"/>
        <extend val="0"/>
        <sz val="10"/>
        <vertAlign val="baseline"/>
      </font>
      <numFmt numFmtId="3" formatCode="#,##0"/>
      <border outline="0">
        <left style="thin">
          <color rgb="FFD9D9D9"/>
        </left>
        <right style="thin">
          <color rgb="FFD9D9D9"/>
        </right>
        <top style="thin">
          <color rgb="FFD9D9D9"/>
        </top>
        <bottom/>
      </border>
    </dxf>
    <dxf>
      <font>
        <name val="Arial"/>
        <family val="2"/>
        <strike val="0"/>
        <outline val="0"/>
        <shadow val="0"/>
        <condense val="0"/>
        <color auto="1"/>
        <extend val="0"/>
        <sz val="10"/>
        <vertAlign val="baseline"/>
      </font>
      <numFmt numFmtId="3" formatCode="#,##0"/>
      <border outline="0">
        <left style="thin">
          <color rgb="FFD9D9D9"/>
        </left>
        <right style="thin">
          <color rgb="FFD9D9D9"/>
        </right>
        <top style="thin">
          <color rgb="FFD9D9D9"/>
        </top>
        <bottom/>
      </border>
    </dxf>
    <dxf>
      <border outline="0">
        <left/>
        <right/>
        <top/>
        <bottom/>
      </border>
    </dxf>
    <dxf>
      <border outline="0">
        <left/>
        <right/>
        <top/>
        <bottom/>
      </border>
    </dxf>
    <dxf>
      <border outline="0">
        <left/>
        <right/>
        <top/>
        <bottom/>
      </border>
    </dxf>
    <dxf>
      <border outline="0">
        <left/>
        <right/>
        <top/>
        <bottom/>
      </border>
    </dxf>
    <dxf>
      <border outline="0">
        <left/>
        <right/>
        <top/>
        <bottom/>
      </border>
    </dxf>
    <dxf>
      <border outline="0">
        <left/>
        <right/>
        <top/>
        <bottom/>
      </border>
    </dxf>
    <dxf>
      <border outline="0">
        <left/>
        <right/>
        <top/>
        <bottom/>
      </border>
    </dxf>
    <dxf>
      <border outline="0">
        <left/>
        <right/>
        <top/>
        <bottom/>
      </border>
    </dxf>
    <dxf>
      <border outline="0">
        <left/>
        <right/>
        <top/>
        <bottom/>
      </border>
    </dxf>
    <dxf>
      <border outline="0">
        <left/>
        <right/>
        <top/>
        <bottom/>
      </border>
    </dxf>
    <dxf>
      <border outline="0">
        <left/>
        <right/>
        <top/>
        <bottom/>
      </border>
    </dxf>
    <dxf>
      <border outline="0">
        <left/>
        <right/>
        <top/>
        <bottom/>
      </border>
    </dxf>
    <dxf>
      <numFmt numFmtId="30" formatCode="@"/>
      <alignment horizontal="general"/>
    </dxf>
    <dxf>
      <font>
        <name val="Arial"/>
        <family val="2"/>
        <strike val="0"/>
        <outline val="0"/>
        <shadow val="0"/>
        <condense val="0"/>
        <color auto="1"/>
        <extend val="0"/>
        <sz val="10"/>
        <vertAlign val="baseline"/>
      </font>
      <numFmt numFmtId="3" formatCode="#,##0"/>
      <border>
        <left style="thin">
          <color rgb="FFD9D9D9"/>
        </left>
        <right style="thin">
          <color rgb="FFD9D9D9"/>
        </right>
        <top style="thin">
          <color rgb="FFD9D9D9"/>
        </top>
        <bottom style="thin">
          <color rgb="FFD9D9D9"/>
        </bottom>
        <vertical/>
        <horizontal/>
      </border>
    </dxf>
    <dxf>
      <font>
        <name val="Arial"/>
        <family val="2"/>
        <strike val="0"/>
        <outline val="0"/>
        <shadow val="0"/>
        <condense val="0"/>
        <color auto="1"/>
        <extend val="0"/>
        <sz val="10"/>
        <vertAlign val="baseline"/>
      </font>
      <numFmt numFmtId="3" formatCode="#,##0"/>
      <border>
        <left style="thin">
          <color rgb="FFD9D9D9"/>
        </left>
        <right style="thin">
          <color rgb="FFD9D9D9"/>
        </right>
        <top style="thin">
          <color rgb="FFD9D9D9"/>
        </top>
        <bottom style="thin">
          <color rgb="FFD9D9D9"/>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1EFE8"/>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RawTx" displayName="RawTx" ref="A1:Y535" headerRowCount="1" totalsRowCount="1">
  <autoFilter ref="A1:Y535"/>
  <tableColumns count="25">
    <tableColumn id="1" name="Competitor" totalsRowDxfId="18"/>
    <tableColumn id="2" name="Product Category" totalsRowDxfId="17"/>
    <tableColumn id="3" name="Buyer" totalsRowDxfId="16"/>
    <tableColumn id="4" name="Customer Category" totalsRowDxfId="15"/>
    <tableColumn id="5" name="Country" totalsRowDxfId="14"/>
    <tableColumn id="6" name="Year" totalsRowDxfId="13"/>
    <tableColumn id="7" name="Quantity" totalsRowDxfId="12"/>
    <tableColumn id="8" name="Unit Price" totalsRowDxfId="11"/>
    <tableColumn id="9" name="Currency" totalsRowDxfId="10"/>
    <tableColumn id="10" name="FX to USD" totalsRowDxfId="9"/>
    <tableColumn id="11" name="Value USD" totalsRowDxfId="8"/>
    <tableColumn id="12" name="Value IDR" totalsRowDxfId="7"/>
    <tableColumn id="19" name="Value USD per Unit" dataDxfId="21" totalsRowDxfId="6">
      <calculatedColumnFormula>RawTx[[#This Row],[Value USD]]/RawTx[[#This Row],[Quantity]]</calculatedColumnFormula>
    </tableColumn>
    <tableColumn id="18" name="Value IDR per Unit" dataDxfId="20" totalsRowDxfId="5">
      <calculatedColumnFormula>RawTx[[#This Row],[Value IDR]]/RawTx[[#This Row],[Quantity]]</calculatedColumnFormula>
    </tableColumn>
    <tableColumn id="13" name="Original Goods Description" totalsRowDxfId="4"/>
    <tableColumn id="14" name="Brand" totalsRowDxfId="3"/>
    <tableColumn id="15" name="Type/Model" dataDxfId="19" totalsRowDxfId="2"/>
    <tableColumn id="16" name="Net Weight" totalsRowDxfId="1"/>
    <tableColumn id="17" name="Weight per Unit" totalsRowDxfId="0"/>
    <tableColumn id="20" name="Freight"/>
    <tableColumn id="21" name="Insurance"/>
    <tableColumn id="22" name="FOB"/>
    <tableColumn id="23" name="Freight IDR"/>
    <tableColumn id="24" name="Insurance IDR"/>
    <tableColumn id="25" name="FOB ID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10"/>
  <sheetViews>
    <sheetView tabSelected="1" zoomScaleNormal="100" workbookViewId="0">
      <selection activeCell="F4" sqref="F4"/>
    </sheetView>
  </sheetViews>
  <sheetFormatPr baseColWidth="8" defaultColWidth="8.6328125" defaultRowHeight="14.5"/>
  <cols>
    <col width="30" customWidth="1" style="16" min="1" max="1"/>
    <col width="14" customWidth="1" style="16" min="2" max="2"/>
    <col width="64" customWidth="1" style="16" min="3" max="3"/>
  </cols>
  <sheetData>
    <row r="1">
      <c r="A1" s="1" t="inlineStr">
        <is>
          <t>Assumption</t>
        </is>
      </c>
      <c r="B1" s="1" t="inlineStr">
        <is>
          <t>Value</t>
        </is>
      </c>
      <c r="C1" s="1" t="inlineStr">
        <is>
          <t>Note</t>
        </is>
      </c>
    </row>
    <row r="2" ht="33.75" customHeight="1" s="16">
      <c r="A2" s="2" t="inlineStr">
        <is>
          <t>AUD to USD rate</t>
        </is>
      </c>
      <c r="B2" s="10" t="n">
        <v>0.7</v>
      </c>
      <c r="C2" s="4" t="inlineStr">
        <is>
          <t>Applied to AUD rows. Edit B2 to refresh every sheet.</t>
        </is>
      </c>
    </row>
    <row r="3" ht="33.75" customHeight="1" s="16">
      <c r="A3" s="2" t="inlineStr">
        <is>
          <t>USD to USD</t>
        </is>
      </c>
      <c r="B3" s="5" t="n">
        <v>1</v>
      </c>
      <c r="C3" s="4" t="inlineStr">
        <is>
          <t>No conversion.</t>
        </is>
      </c>
    </row>
    <row r="4" ht="33.75" customHeight="1" s="16">
      <c r="A4" s="2" t="inlineStr">
        <is>
          <t>USD to IDR rate</t>
        </is>
      </c>
      <c r="B4" s="3" t="n">
        <v>17500</v>
      </c>
      <c r="C4" s="4" t="inlineStr">
        <is>
          <t>Applied to all USD Value to get Value IDR. Edit B4 to refresh every sheet.</t>
        </is>
      </c>
    </row>
    <row r="5" ht="33.75" customHeight="1" s="16">
      <c r="A5" s="2" t="inlineStr">
        <is>
          <t>Rows with non-integer quantity</t>
        </is>
      </c>
      <c r="B5" s="5" t="inlineStr">
        <is>
          <t>Excluded</t>
        </is>
      </c>
      <c r="C5" s="4" t="inlineStr">
        <is>
          <t>10 rows removed (SSB Unit / Orica Australia / 2026).</t>
        </is>
      </c>
    </row>
    <row r="6" ht="33.75" customHeight="1" s="16">
      <c r="A6" s="2" t="inlineStr">
        <is>
          <t>Rows removed by instruction</t>
        </is>
      </c>
      <c r="B6" s="5" t="inlineStr">
        <is>
          <t>Excluded</t>
        </is>
      </c>
      <c r="C6" s="4" t="inlineStr">
        <is>
          <t>8 rows 'Komatsu 830 Ultima/Westech Truck Bodies Components' (Austin, Australia, 2023) removed.</t>
        </is>
      </c>
    </row>
    <row r="7" ht="33.75" customHeight="1" s="16">
      <c r="A7" s="2" t="inlineStr">
        <is>
          <t>Net Weight</t>
        </is>
      </c>
      <c r="B7" s="5" t="inlineStr">
        <is>
          <t>As declared</t>
        </is>
      </c>
      <c r="C7" s="4" t="inlineStr">
        <is>
          <t>Present for every row because every row was sourced from a screenshot showing a Net Weight column.</t>
        </is>
      </c>
    </row>
    <row r="8" ht="33.75" customHeight="1" s="16">
      <c r="A8" s="2" t="inlineStr">
        <is>
          <t>Brand / Type-Model</t>
        </is>
      </c>
      <c r="B8" s="5" t="inlineStr">
        <is>
          <t>NA where not applicable</t>
        </is>
      </c>
      <c r="C8" s="4" t="inlineStr">
        <is>
          <t>Filled only when Original Goods Description clearly identifies a truck brand and model. Spare parts, tanks, trailers and generic components are marked NA rather than guessed.</t>
        </is>
      </c>
    </row>
    <row r="9" ht="33.75" customHeight="1" s="16">
      <c r="A9" s="2" t="inlineStr">
        <is>
          <t>Customer Category</t>
        </is>
      </c>
      <c r="B9" s="5" t="inlineStr">
        <is>
          <t>Owner / Contractor / Principal / Trader-Distributor / Fabricator</t>
        </is>
      </c>
      <c r="C9" s="4" t="inlineStr">
        <is>
          <t>Verified against public industry sources (company sites, mining news, Wikipedia), not inferred from name alone.</t>
        </is>
      </c>
    </row>
    <row r="10" ht="33.75" customHeight="1" s="16">
      <c r="A10" s="2" t="inlineStr">
        <is>
          <t>2026 coverage</t>
        </is>
      </c>
      <c r="B10" s="5" t="inlineStr">
        <is>
          <t>Jan-Sep 2026</t>
        </is>
      </c>
      <c r="C10" s="4" t="inlineStr">
        <is>
          <t>Partial year.</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Y535"/>
  <sheetViews>
    <sheetView zoomScale="80" zoomScaleNormal="80" workbookViewId="0">
      <pane ySplit="1" topLeftCell="A187" activePane="bottomLeft" state="frozen"/>
      <selection activeCell="F4" sqref="F4"/>
      <selection pane="bottomLeft" activeCell="F4" sqref="F4"/>
    </sheetView>
  </sheetViews>
  <sheetFormatPr baseColWidth="8" defaultColWidth="8.6328125" defaultRowHeight="14.5"/>
  <cols>
    <col width="16.36328125" bestFit="1" customWidth="1" style="16" min="1" max="1"/>
    <col width="23.36328125" bestFit="1" customWidth="1" style="16" min="2" max="2"/>
    <col width="33.54296875" bestFit="1" customWidth="1" style="16" min="3" max="3"/>
    <col width="16.6328125" bestFit="1" customWidth="1" style="16" min="4" max="4"/>
    <col width="16.7265625" bestFit="1" customWidth="1" style="16" min="5" max="5"/>
    <col width="10.08984375" bestFit="1" customWidth="1" style="16" min="6" max="6"/>
    <col width="13.453125" bestFit="1" customWidth="1" style="16" min="7" max="7"/>
    <col width="14.54296875" bestFit="1" customWidth="1" style="16" min="8" max="8"/>
    <col width="14.08984375" bestFit="1" customWidth="1" style="16" min="9" max="9"/>
    <col width="8.7265625" customWidth="1" style="16" min="10" max="10"/>
    <col width="15.36328125" bestFit="1" customWidth="1" style="16" min="11" max="11"/>
    <col width="14.6328125" bestFit="1" customWidth="1" style="16" min="12" max="12"/>
    <col width="15.36328125" bestFit="1" customWidth="1" style="16" min="13" max="13"/>
    <col width="14.6328125" bestFit="1" customWidth="1" style="16" min="14" max="14"/>
    <col width="78.453125" bestFit="1" customWidth="1" style="16" min="15" max="15"/>
    <col width="11.1796875" bestFit="1" customWidth="1" style="16" min="16" max="16"/>
    <col width="13.7265625" bestFit="1" customWidth="1" style="18" min="17" max="17"/>
    <col width="15.6328125" bestFit="1" customWidth="1" style="16" min="18" max="18"/>
    <col width="19.7265625" bestFit="1" customWidth="1" style="16" min="19" max="19"/>
    <col width="16" customWidth="1" style="16" min="20" max="20"/>
    <col width="16" customWidth="1" style="16" min="21" max="21"/>
    <col width="16" customWidth="1" style="16" min="22" max="22"/>
    <col width="16" customWidth="1" style="16" min="23" max="23"/>
    <col width="16" customWidth="1" style="16" min="24" max="24"/>
    <col width="16" customWidth="1" style="16" min="25" max="25"/>
  </cols>
  <sheetData>
    <row r="1" ht="26" customHeight="1" s="16">
      <c r="A1" s="6" t="inlineStr">
        <is>
          <t>Competitor</t>
        </is>
      </c>
      <c r="B1" s="6" t="inlineStr">
        <is>
          <t>Product Category</t>
        </is>
      </c>
      <c r="C1" s="6" t="inlineStr">
        <is>
          <t>Buyer</t>
        </is>
      </c>
      <c r="D1" s="6" t="inlineStr">
        <is>
          <t>Customer Category</t>
        </is>
      </c>
      <c r="E1" s="6" t="inlineStr">
        <is>
          <t>Country</t>
        </is>
      </c>
      <c r="F1" s="6" t="inlineStr">
        <is>
          <t>Year</t>
        </is>
      </c>
      <c r="G1" s="6" t="inlineStr">
        <is>
          <t>Quantity</t>
        </is>
      </c>
      <c r="H1" s="6" t="inlineStr">
        <is>
          <t>Unit Price</t>
        </is>
      </c>
      <c r="I1" s="6" t="inlineStr">
        <is>
          <t>Currency</t>
        </is>
      </c>
      <c r="J1" s="6" t="inlineStr">
        <is>
          <t>FX to USD</t>
        </is>
      </c>
      <c r="K1" s="6" t="inlineStr">
        <is>
          <t>Value USD</t>
        </is>
      </c>
      <c r="L1" s="6" t="inlineStr">
        <is>
          <t>Value IDR</t>
        </is>
      </c>
      <c r="M1" s="6" t="inlineStr">
        <is>
          <t>Value USD per Unit</t>
        </is>
      </c>
      <c r="N1" s="6" t="inlineStr">
        <is>
          <t>Value IDR per Unit</t>
        </is>
      </c>
      <c r="O1" s="6" t="inlineStr">
        <is>
          <t>Original Goods Description</t>
        </is>
      </c>
      <c r="P1" s="6" t="inlineStr">
        <is>
          <t>Brand</t>
        </is>
      </c>
      <c r="Q1" s="12" t="inlineStr">
        <is>
          <t>Type/Model</t>
        </is>
      </c>
      <c r="R1" s="6" t="inlineStr">
        <is>
          <t>Net Weight</t>
        </is>
      </c>
      <c r="S1" s="6" t="inlineStr">
        <is>
          <t>Weight per Unit</t>
        </is>
      </c>
      <c r="T1" s="6" t="inlineStr">
        <is>
          <t>Freight</t>
        </is>
      </c>
      <c r="U1" s="6" t="inlineStr">
        <is>
          <t>Insurance</t>
        </is>
      </c>
      <c r="V1" s="6" t="inlineStr">
        <is>
          <t>FOB</t>
        </is>
      </c>
      <c r="W1" s="6" t="inlineStr">
        <is>
          <t>Freight IDR</t>
        </is>
      </c>
      <c r="X1" s="6" t="inlineStr">
        <is>
          <t>Insurance IDR</t>
        </is>
      </c>
      <c r="Y1" s="6" t="inlineStr">
        <is>
          <t>FOB IDR</t>
        </is>
      </c>
    </row>
    <row r="2">
      <c r="A2" s="5" t="inlineStr">
        <is>
          <t>Austin Engineering</t>
        </is>
      </c>
      <c r="B2" s="11" t="inlineStr">
        <is>
          <t>Dump bodies/truck trays</t>
        </is>
      </c>
      <c r="C2" s="5" t="inlineStr">
        <is>
          <t>Hamersley Iron Pty Limited</t>
        </is>
      </c>
      <c r="D2" s="5" t="inlineStr">
        <is>
          <t>Owner</t>
        </is>
      </c>
      <c r="E2" s="5" t="inlineStr">
        <is>
          <t>Australia</t>
        </is>
      </c>
      <c r="F2" s="5" t="n">
        <v>2026</v>
      </c>
      <c r="G2" s="5" t="n">
        <v>3</v>
      </c>
      <c r="H2" s="7" t="n">
        <v>198582.12</v>
      </c>
      <c r="I2" s="5" t="inlineStr">
        <is>
          <t>AUD</t>
        </is>
      </c>
      <c r="J2" s="8">
        <f>IF($I2="AUD",Assumptions!$B$2,Assumptions!$B$3)</f>
        <v/>
      </c>
      <c r="K2" s="9">
        <f>$G2*$H2*$J2</f>
        <v/>
      </c>
      <c r="L2" s="9">
        <f>$K2*Assumptions!$B$4</f>
        <v/>
      </c>
      <c r="M2" s="9">
        <f>RawTx[[#This Row],[Value USD]]/RawTx[[#This Row],[Quantity]]</f>
        <v/>
      </c>
      <c r="N2" s="9">
        <f>RawTx[[#This Row],[Value IDR]]/RawTx[[#This Row],[Quantity]]</f>
        <v/>
      </c>
      <c r="O2" s="4" t="inlineStr">
        <is>
          <t>RTIO - KOMATSU 930E - 4 HPT STD (177390C) - WEST ANGELAS C/W ACCESSORIES</t>
        </is>
      </c>
      <c r="P2" s="5" t="inlineStr">
        <is>
          <t>Komatsu</t>
        </is>
      </c>
      <c r="Q2" s="13" t="inlineStr">
        <is>
          <t>930E</t>
        </is>
      </c>
      <c r="R2" s="7" t="n">
        <v>100650</v>
      </c>
      <c r="S2" s="7">
        <f>IFERROR($R2/$G2,"")</f>
        <v/>
      </c>
      <c r="T2" s="7" t="n">
        <v>34369.86</v>
      </c>
      <c r="U2" s="7" t="n">
        <v>3593.37</v>
      </c>
      <c r="V2" s="7" t="n">
        <v>850566</v>
      </c>
      <c r="W2" s="9">
        <f>IF(ISNUMBER($T2),$T2*$J2*Assumptions!$B$4,"NA")</f>
        <v/>
      </c>
      <c r="X2" s="9">
        <f>IF(ISNUMBER($U2),$U2*$J2*Assumptions!$B$4,"NA")</f>
        <v/>
      </c>
      <c r="Y2" s="9">
        <f>IF(ISNUMBER($V2),$V2*$J2*Assumptions!$B$4,"NA")</f>
        <v/>
      </c>
    </row>
    <row r="3">
      <c r="A3" s="5" t="inlineStr">
        <is>
          <t>Austin Engineering</t>
        </is>
      </c>
      <c r="B3" s="11" t="inlineStr">
        <is>
          <t>Dump bodies/truck trays</t>
        </is>
      </c>
      <c r="C3" s="5" t="inlineStr">
        <is>
          <t>Hamersley Iron Pty Limited</t>
        </is>
      </c>
      <c r="D3" s="5" t="inlineStr">
        <is>
          <t>Owner</t>
        </is>
      </c>
      <c r="E3" s="5" t="inlineStr">
        <is>
          <t>Australia</t>
        </is>
      </c>
      <c r="F3" s="5" t="n">
        <v>2026</v>
      </c>
      <c r="G3" s="5" t="n">
        <v>3</v>
      </c>
      <c r="H3" s="7" t="n">
        <v>202635.39</v>
      </c>
      <c r="I3" s="5" t="inlineStr">
        <is>
          <t>AUD</t>
        </is>
      </c>
      <c r="J3" s="8">
        <f>IF($I3="AUD",Assumptions!$B$2,Assumptions!$B$3)</f>
        <v/>
      </c>
      <c r="K3" s="9">
        <f>$G3*$H3*$J3</f>
        <v/>
      </c>
      <c r="L3" s="9">
        <f>$K3*Assumptions!$B$4</f>
        <v/>
      </c>
      <c r="M3" s="9">
        <f>RawTx[[#This Row],[Value USD]]/RawTx[[#This Row],[Quantity]]</f>
        <v/>
      </c>
      <c r="N3" s="9">
        <f>RawTx[[#This Row],[Value IDR]]/RawTx[[#This Row],[Quantity]]</f>
        <v/>
      </c>
      <c r="O3" s="4" t="inlineStr">
        <is>
          <t>RTIO - KOMATSU 930E - 4 HPT STD (177390B) - WEST ANGELAS C/W ACCESSORIES</t>
        </is>
      </c>
      <c r="P3" s="5" t="inlineStr">
        <is>
          <t>Komatsu</t>
        </is>
      </c>
      <c r="Q3" s="13" t="inlineStr">
        <is>
          <t>930E</t>
        </is>
      </c>
      <c r="R3" s="7" t="n">
        <v>101070</v>
      </c>
      <c r="S3" s="7">
        <f>IFERROR($R3/$G3,"")</f>
        <v/>
      </c>
      <c r="T3" s="7" t="n">
        <v>34369.86</v>
      </c>
      <c r="U3" s="7" t="n">
        <v>3593.37</v>
      </c>
      <c r="V3" s="7" t="n">
        <v>867926.91</v>
      </c>
      <c r="W3" s="9">
        <f>IF(ISNUMBER($T3),$T3*$J3*Assumptions!$B$4,"NA")</f>
        <v/>
      </c>
      <c r="X3" s="9">
        <f>IF(ISNUMBER($U3),$U3*$J3*Assumptions!$B$4,"NA")</f>
        <v/>
      </c>
      <c r="Y3" s="9">
        <f>IF(ISNUMBER($V3),$V3*$J3*Assumptions!$B$4,"NA")</f>
        <v/>
      </c>
    </row>
    <row r="4">
      <c r="A4" s="5" t="inlineStr">
        <is>
          <t>Austin Engineering</t>
        </is>
      </c>
      <c r="B4" s="11" t="inlineStr">
        <is>
          <t>Dump bodies/truck trays</t>
        </is>
      </c>
      <c r="C4" s="5" t="inlineStr">
        <is>
          <t>Hamersley Iron Pty Limited</t>
        </is>
      </c>
      <c r="D4" s="5" t="inlineStr">
        <is>
          <t>Owner</t>
        </is>
      </c>
      <c r="E4" s="5" t="inlineStr">
        <is>
          <t>Australia</t>
        </is>
      </c>
      <c r="F4" s="5" t="n">
        <v>2026</v>
      </c>
      <c r="G4" s="5" t="n">
        <v>6</v>
      </c>
      <c r="H4" s="7" t="n">
        <v>197612.79</v>
      </c>
      <c r="I4" s="5" t="inlineStr">
        <is>
          <t>AUD</t>
        </is>
      </c>
      <c r="J4" s="8">
        <f>IF($I4="AUD",Assumptions!$B$2,Assumptions!$B$3)</f>
        <v/>
      </c>
      <c r="K4" s="9">
        <f>$G4*$H4*$J4</f>
        <v/>
      </c>
      <c r="L4" s="9">
        <f>$K4*Assumptions!$B$4</f>
        <v/>
      </c>
      <c r="M4" s="9">
        <f>RawTx[[#This Row],[Value USD]]/RawTx[[#This Row],[Quantity]]</f>
        <v/>
      </c>
      <c r="N4" s="9">
        <f>RawTx[[#This Row],[Value IDR]]/RawTx[[#This Row],[Quantity]]</f>
        <v/>
      </c>
      <c r="O4" s="4" t="inlineStr">
        <is>
          <t>RTIO - KOMATSU 830E-1 HPT STD - MESA A C/W ACCESSORIES</t>
        </is>
      </c>
      <c r="P4" s="5" t="inlineStr">
        <is>
          <t>Komatsu</t>
        </is>
      </c>
      <c r="Q4" s="13" t="inlineStr">
        <is>
          <t>830E-1</t>
        </is>
      </c>
      <c r="R4" s="7" t="n">
        <v>166.52</v>
      </c>
      <c r="S4" s="7">
        <f>IFERROR($R4/$G4,"")</f>
        <v/>
      </c>
      <c r="T4" s="7" t="n">
        <v>252851.4</v>
      </c>
      <c r="U4" s="7" t="n">
        <v>9692.639999999999</v>
      </c>
      <c r="V4" s="7" t="n">
        <v>1685676</v>
      </c>
      <c r="W4" s="9">
        <f>IF(ISNUMBER($T4),$T4*$J4*Assumptions!$B$4,"NA")</f>
        <v/>
      </c>
      <c r="X4" s="9">
        <f>IF(ISNUMBER($U4),$U4*$J4*Assumptions!$B$4,"NA")</f>
        <v/>
      </c>
      <c r="Y4" s="9">
        <f>IF(ISNUMBER($V4),$V4*$J4*Assumptions!$B$4,"NA")</f>
        <v/>
      </c>
    </row>
    <row r="5">
      <c r="A5" s="5" t="inlineStr">
        <is>
          <t>Austin Engineering</t>
        </is>
      </c>
      <c r="B5" s="11" t="inlineStr">
        <is>
          <t>Dump bodies/truck trays</t>
        </is>
      </c>
      <c r="C5" s="5" t="inlineStr">
        <is>
          <t>Hamersley Iron Pty Limited</t>
        </is>
      </c>
      <c r="D5" s="5" t="inlineStr">
        <is>
          <t>Owner</t>
        </is>
      </c>
      <c r="E5" s="5" t="inlineStr">
        <is>
          <t>Australia</t>
        </is>
      </c>
      <c r="F5" s="5" t="n">
        <v>2026</v>
      </c>
      <c r="G5" s="5" t="n">
        <v>2</v>
      </c>
      <c r="H5" s="7" t="n">
        <v>199188.62</v>
      </c>
      <c r="I5" s="5" t="inlineStr">
        <is>
          <t>AUD</t>
        </is>
      </c>
      <c r="J5" s="8">
        <f>IF($I5="AUD",Assumptions!$B$2,Assumptions!$B$3)</f>
        <v/>
      </c>
      <c r="K5" s="9">
        <f>$G5*$H5*$J5</f>
        <v/>
      </c>
      <c r="L5" s="9">
        <f>$K5*Assumptions!$B$4</f>
        <v/>
      </c>
      <c r="M5" s="9">
        <f>RawTx[[#This Row],[Value USD]]/RawTx[[#This Row],[Quantity]]</f>
        <v/>
      </c>
      <c r="N5" s="9">
        <f>RawTx[[#This Row],[Value IDR]]/RawTx[[#This Row],[Quantity]]</f>
        <v/>
      </c>
      <c r="O5" s="4" t="inlineStr">
        <is>
          <t>RTIO - KOMATSU 830E-1 HPT STD - MESA A C/W ACCESSORIES PO REFERENCE: 301...</t>
        </is>
      </c>
      <c r="P5" s="5" t="inlineStr">
        <is>
          <t>Komatsu</t>
        </is>
      </c>
      <c r="Q5" s="13" t="inlineStr">
        <is>
          <t>830E-1</t>
        </is>
      </c>
      <c r="R5" s="7" t="n">
        <v>55508</v>
      </c>
      <c r="S5" s="7">
        <f>IFERROR($R5/$G5,"")</f>
        <v/>
      </c>
      <c r="T5" s="7" t="n">
        <v>33713.52</v>
      </c>
      <c r="U5" s="7" t="n">
        <v>3524.75</v>
      </c>
      <c r="V5" s="7" t="n">
        <v>561892</v>
      </c>
      <c r="W5" s="9">
        <f>IF(ISNUMBER($T5),$T5*$J5*Assumptions!$B$4,"NA")</f>
        <v/>
      </c>
      <c r="X5" s="9">
        <f>IF(ISNUMBER($U5),$U5*$J5*Assumptions!$B$4,"NA")</f>
        <v/>
      </c>
      <c r="Y5" s="9">
        <f>IF(ISNUMBER($V5),$V5*$J5*Assumptions!$B$4,"NA")</f>
        <v/>
      </c>
    </row>
    <row r="6">
      <c r="A6" s="5" t="inlineStr">
        <is>
          <t>Austin Engineering</t>
        </is>
      </c>
      <c r="B6" s="11" t="inlineStr">
        <is>
          <t>Dump bodies/truck trays</t>
        </is>
      </c>
      <c r="C6" s="5" t="inlineStr">
        <is>
          <t>Hamersley Iron Pty Limited</t>
        </is>
      </c>
      <c r="D6" s="5" t="inlineStr">
        <is>
          <t>Owner</t>
        </is>
      </c>
      <c r="E6" s="5" t="inlineStr">
        <is>
          <t>Australia</t>
        </is>
      </c>
      <c r="F6" s="5" t="n">
        <v>2026</v>
      </c>
      <c r="G6" s="5" t="n">
        <v>4</v>
      </c>
      <c r="H6" s="7" t="n">
        <v>15754.06</v>
      </c>
      <c r="I6" s="5" t="inlineStr">
        <is>
          <t>AUD</t>
        </is>
      </c>
      <c r="J6" s="8">
        <f>IF($I6="AUD",Assumptions!$B$2,Assumptions!$B$3)</f>
        <v/>
      </c>
      <c r="K6" s="9">
        <f>$G6*$H6*$J6</f>
        <v/>
      </c>
      <c r="L6" s="9">
        <f>$K6*Assumptions!$B$4</f>
        <v/>
      </c>
      <c r="M6" s="9">
        <f>RawTx[[#This Row],[Value USD]]/RawTx[[#This Row],[Quantity]]</f>
        <v/>
      </c>
      <c r="N6" s="9">
        <f>RawTx[[#This Row],[Value IDR]]/RawTx[[#This Row],[Quantity]]</f>
        <v/>
      </c>
      <c r="O6" s="4" t="inlineStr">
        <is>
          <t>KOMATSU HD785 - 7 ULTIMA - 178320B C/W ACCESSORIES</t>
        </is>
      </c>
      <c r="P6" s="5" t="inlineStr">
        <is>
          <t>Komatsu</t>
        </is>
      </c>
      <c r="Q6" s="14" t="inlineStr">
        <is>
          <t>HD785-7</t>
        </is>
      </c>
      <c r="R6" s="7" t="n">
        <v>62320</v>
      </c>
      <c r="S6" s="7">
        <f>IFERROR($R6/$G6,"")</f>
        <v/>
      </c>
      <c r="T6" s="7" t="inlineStr">
        <is>
          <t>NA</t>
        </is>
      </c>
      <c r="U6" s="7" t="inlineStr">
        <is>
          <t>NA</t>
        </is>
      </c>
      <c r="V6" s="7" t="inlineStr">
        <is>
          <t>NA</t>
        </is>
      </c>
      <c r="W6" s="9">
        <f>IF(ISNUMBER($T6),$T6*$J6*Assumptions!$B$4,"NA")</f>
        <v/>
      </c>
      <c r="X6" s="9">
        <f>IF(ISNUMBER($U6),$U6*$J6*Assumptions!$B$4,"NA")</f>
        <v/>
      </c>
      <c r="Y6" s="9">
        <f>IF(ISNUMBER($V6),$V6*$J6*Assumptions!$B$4,"NA")</f>
        <v/>
      </c>
    </row>
    <row r="7">
      <c r="A7" s="5" t="inlineStr">
        <is>
          <t>Austin Engineering</t>
        </is>
      </c>
      <c r="B7" s="11" t="inlineStr">
        <is>
          <t>Dump bodies/truck trays</t>
        </is>
      </c>
      <c r="C7" s="5" t="inlineStr">
        <is>
          <t>Hamersley Iron Pty Limited</t>
        </is>
      </c>
      <c r="D7" s="5" t="inlineStr">
        <is>
          <t>Owner</t>
        </is>
      </c>
      <c r="E7" s="5" t="inlineStr">
        <is>
          <t>Australia</t>
        </is>
      </c>
      <c r="F7" s="5" t="n">
        <v>2026</v>
      </c>
      <c r="G7" s="5" t="n">
        <v>4</v>
      </c>
      <c r="H7" s="7" t="n">
        <v>199188.62</v>
      </c>
      <c r="I7" s="5" t="inlineStr">
        <is>
          <t>AUD</t>
        </is>
      </c>
      <c r="J7" s="8">
        <f>IF($I7="AUD",Assumptions!$B$2,Assumptions!$B$3)</f>
        <v/>
      </c>
      <c r="K7" s="9">
        <f>$G7*$H7*$J7</f>
        <v/>
      </c>
      <c r="L7" s="9">
        <f>$K7*Assumptions!$B$4</f>
        <v/>
      </c>
      <c r="M7" s="9">
        <f>RawTx[[#This Row],[Value USD]]/RawTx[[#This Row],[Quantity]]</f>
        <v/>
      </c>
      <c r="N7" s="9">
        <f>RawTx[[#This Row],[Value IDR]]/RawTx[[#This Row],[Quantity]]</f>
        <v/>
      </c>
      <c r="O7" s="4" t="inlineStr">
        <is>
          <t>RTIO - KOMATSU 830E-1 HPT STD-HOPE DOWNS 4 C/W ACCESSORIES PO REFEREN...</t>
        </is>
      </c>
      <c r="P7" s="5" t="inlineStr">
        <is>
          <t>Komatsu</t>
        </is>
      </c>
      <c r="Q7" s="13" t="inlineStr">
        <is>
          <t>830E-1</t>
        </is>
      </c>
      <c r="R7" s="7" t="n">
        <v>111016</v>
      </c>
      <c r="S7" s="7">
        <f>IFERROR($R7/$G7,"")</f>
        <v/>
      </c>
      <c r="T7" s="7" t="n">
        <v>33713.52</v>
      </c>
      <c r="U7" s="7" t="n">
        <v>3524.75</v>
      </c>
      <c r="V7" s="7" t="n">
        <v>1123784</v>
      </c>
      <c r="W7" s="9">
        <f>IF(ISNUMBER($T7),$T7*$J7*Assumptions!$B$4,"NA")</f>
        <v/>
      </c>
      <c r="X7" s="9">
        <f>IF(ISNUMBER($U7),$U7*$J7*Assumptions!$B$4,"NA")</f>
        <v/>
      </c>
      <c r="Y7" s="9">
        <f>IF(ISNUMBER($V7),$V7*$J7*Assumptions!$B$4,"NA")</f>
        <v/>
      </c>
    </row>
    <row r="8">
      <c r="A8" s="5" t="inlineStr">
        <is>
          <t>Austin Engineering</t>
        </is>
      </c>
      <c r="B8" s="11" t="inlineStr">
        <is>
          <t>Dump bodies/truck trays</t>
        </is>
      </c>
      <c r="C8" s="5" t="inlineStr">
        <is>
          <t>Hamersley Iron Pty Limited</t>
        </is>
      </c>
      <c r="D8" s="5" t="inlineStr">
        <is>
          <t>Owner</t>
        </is>
      </c>
      <c r="E8" s="5" t="inlineStr">
        <is>
          <t>Australia</t>
        </is>
      </c>
      <c r="F8" s="5" t="n">
        <v>2026</v>
      </c>
      <c r="G8" s="5" t="n">
        <v>3</v>
      </c>
      <c r="H8" s="7" t="n">
        <v>202812.21</v>
      </c>
      <c r="I8" s="5" t="inlineStr">
        <is>
          <t>AUD</t>
        </is>
      </c>
      <c r="J8" s="8">
        <f>IF($I8="AUD",Assumptions!$B$2,Assumptions!$B$3)</f>
        <v/>
      </c>
      <c r="K8" s="9">
        <f>$G8*$H8*$J8</f>
        <v/>
      </c>
      <c r="L8" s="9">
        <f>$K8*Assumptions!$B$4</f>
        <v/>
      </c>
      <c r="M8" s="9">
        <f>RawTx[[#This Row],[Value USD]]/RawTx[[#This Row],[Quantity]]</f>
        <v/>
      </c>
      <c r="N8" s="9">
        <f>RawTx[[#This Row],[Value IDR]]/RawTx[[#This Row],[Quantity]]</f>
        <v/>
      </c>
      <c r="O8" s="4" t="inlineStr">
        <is>
          <t>RTIO - KOM 830E-1 HPT STD - BROCKMAN 4 C/W ACCESSORIES</t>
        </is>
      </c>
      <c r="P8" s="5" t="inlineStr">
        <is>
          <t>Komatsu</t>
        </is>
      </c>
      <c r="Q8" s="13" t="inlineStr">
        <is>
          <t>830E-1</t>
        </is>
      </c>
      <c r="R8" s="7" t="n">
        <v>83262</v>
      </c>
      <c r="S8" s="7">
        <f>IFERROR($R8/$G8,"")</f>
        <v/>
      </c>
      <c r="T8" s="7" t="n">
        <v>255209.24</v>
      </c>
      <c r="U8" s="7" t="n">
        <v>9783.02</v>
      </c>
      <c r="V8" s="7" t="n">
        <v>842838</v>
      </c>
      <c r="W8" s="9">
        <f>IF(ISNUMBER($T8),$T8*$J8*Assumptions!$B$4,"NA")</f>
        <v/>
      </c>
      <c r="X8" s="9">
        <f>IF(ISNUMBER($U8),$U8*$J8*Assumptions!$B$4,"NA")</f>
        <v/>
      </c>
      <c r="Y8" s="9">
        <f>IF(ISNUMBER($V8),$V8*$J8*Assumptions!$B$4,"NA")</f>
        <v/>
      </c>
    </row>
    <row r="9">
      <c r="A9" s="5" t="inlineStr">
        <is>
          <t>Austin Engineering</t>
        </is>
      </c>
      <c r="B9" s="11" t="inlineStr">
        <is>
          <t>Dump bodies/truck trays</t>
        </is>
      </c>
      <c r="C9" s="5" t="inlineStr">
        <is>
          <t>Hamersley Iron Pty Limited</t>
        </is>
      </c>
      <c r="D9" s="5" t="inlineStr">
        <is>
          <t>Owner</t>
        </is>
      </c>
      <c r="E9" s="5" t="inlineStr">
        <is>
          <t>Australia</t>
        </is>
      </c>
      <c r="F9" s="5" t="n">
        <v>2026</v>
      </c>
      <c r="G9" s="5" t="n">
        <v>3</v>
      </c>
      <c r="H9" s="7" t="n">
        <v>202812.21</v>
      </c>
      <c r="I9" s="5" t="inlineStr">
        <is>
          <t>AUD</t>
        </is>
      </c>
      <c r="J9" s="8">
        <f>IF($I9="AUD",Assumptions!$B$2,Assumptions!$B$3)</f>
        <v/>
      </c>
      <c r="K9" s="9">
        <f>$G9*$H9*$J9</f>
        <v/>
      </c>
      <c r="L9" s="9">
        <f>$K9*Assumptions!$B$4</f>
        <v/>
      </c>
      <c r="M9" s="9">
        <f>RawTx[[#This Row],[Value USD]]/RawTx[[#This Row],[Quantity]]</f>
        <v/>
      </c>
      <c r="N9" s="9">
        <f>RawTx[[#This Row],[Value IDR]]/RawTx[[#This Row],[Quantity]]</f>
        <v/>
      </c>
      <c r="O9" s="4" t="inlineStr">
        <is>
          <t>RTIO - KOM 830E-1 HPT STD - HOPE DOWN 1 C/W ACCESSORIES</t>
        </is>
      </c>
      <c r="P9" s="5" t="inlineStr">
        <is>
          <t>Komatsu</t>
        </is>
      </c>
      <c r="Q9" s="13" t="inlineStr">
        <is>
          <t>830E-1</t>
        </is>
      </c>
      <c r="R9" s="7" t="n">
        <v>83262</v>
      </c>
      <c r="S9" s="7">
        <f>IFERROR($R9/$G9,"")</f>
        <v/>
      </c>
      <c r="T9" s="7" t="n">
        <v>252851.4</v>
      </c>
      <c r="U9" s="7" t="n">
        <v>9692.639999999999</v>
      </c>
      <c r="V9" s="7" t="n">
        <v>842838</v>
      </c>
      <c r="W9" s="9">
        <f>IF(ISNUMBER($T9),$T9*$J9*Assumptions!$B$4,"NA")</f>
        <v/>
      </c>
      <c r="X9" s="9">
        <f>IF(ISNUMBER($U9),$U9*$J9*Assumptions!$B$4,"NA")</f>
        <v/>
      </c>
      <c r="Y9" s="9">
        <f>IF(ISNUMBER($V9),$V9*$J9*Assumptions!$B$4,"NA")</f>
        <v/>
      </c>
    </row>
    <row r="10">
      <c r="A10" s="5" t="inlineStr">
        <is>
          <t>Austin Engineering</t>
        </is>
      </c>
      <c r="B10" s="11" t="inlineStr">
        <is>
          <t>Dump bodies/truck trays</t>
        </is>
      </c>
      <c r="C10" s="5" t="inlineStr">
        <is>
          <t>Hamersley Iron Pty Limited</t>
        </is>
      </c>
      <c r="D10" s="5" t="inlineStr">
        <is>
          <t>Owner</t>
        </is>
      </c>
      <c r="E10" s="5" t="inlineStr">
        <is>
          <t>Australia</t>
        </is>
      </c>
      <c r="F10" s="5" t="n">
        <v>2026</v>
      </c>
      <c r="G10" s="5" t="n">
        <v>6</v>
      </c>
      <c r="H10" s="7" t="n">
        <v>204671.84</v>
      </c>
      <c r="I10" s="5" t="inlineStr">
        <is>
          <t>AUD</t>
        </is>
      </c>
      <c r="J10" s="8">
        <f>IF($I10="AUD",Assumptions!$B$2,Assumptions!$B$3)</f>
        <v/>
      </c>
      <c r="K10" s="9">
        <f>$G10*$H10*$J10</f>
        <v/>
      </c>
      <c r="L10" s="9">
        <f>$K10*Assumptions!$B$4</f>
        <v/>
      </c>
      <c r="M10" s="9">
        <f>RawTx[[#This Row],[Value USD]]/RawTx[[#This Row],[Quantity]]</f>
        <v/>
      </c>
      <c r="N10" s="9">
        <f>RawTx[[#This Row],[Value IDR]]/RawTx[[#This Row],[Quantity]]</f>
        <v/>
      </c>
      <c r="O10" s="4" t="inlineStr">
        <is>
          <t>RTIO - KOM 830E-1 HPT STD - BROCKMAN 4 C/W ACCESSORIES PO REFERENCE : 3...</t>
        </is>
      </c>
      <c r="P10" s="5" t="inlineStr">
        <is>
          <t>Komatsu</t>
        </is>
      </c>
      <c r="Q10" s="13" t="inlineStr">
        <is>
          <t>830E-1</t>
        </is>
      </c>
      <c r="R10" s="7" t="n">
        <v>166524</v>
      </c>
      <c r="S10" s="7">
        <f>IFERROR($R10/$G10,"")</f>
        <v/>
      </c>
      <c r="T10" s="7" t="n">
        <v>33713.52</v>
      </c>
      <c r="U10" s="7" t="n">
        <v>3524.75</v>
      </c>
      <c r="V10" s="7" t="n">
        <v>1685676</v>
      </c>
      <c r="W10" s="9">
        <f>IF(ISNUMBER($T10),$T10*$J10*Assumptions!$B$4,"NA")</f>
        <v/>
      </c>
      <c r="X10" s="9">
        <f>IF(ISNUMBER($U10),$U10*$J10*Assumptions!$B$4,"NA")</f>
        <v/>
      </c>
      <c r="Y10" s="9">
        <f>IF(ISNUMBER($V10),$V10*$J10*Assumptions!$B$4,"NA")</f>
        <v/>
      </c>
    </row>
    <row r="11">
      <c r="A11" s="5" t="inlineStr">
        <is>
          <t>Austin Engineering</t>
        </is>
      </c>
      <c r="B11" s="11" t="inlineStr">
        <is>
          <t>Dump bodies/truck trays</t>
        </is>
      </c>
      <c r="C11" s="5" t="inlineStr">
        <is>
          <t>Hamersley Iron Pty Limited</t>
        </is>
      </c>
      <c r="D11" s="5" t="inlineStr">
        <is>
          <t>Owner</t>
        </is>
      </c>
      <c r="E11" s="5" t="inlineStr">
        <is>
          <t>Australia</t>
        </is>
      </c>
      <c r="F11" s="5" t="n">
        <v>2026</v>
      </c>
      <c r="G11" s="5" t="n">
        <v>1</v>
      </c>
      <c r="H11" s="7" t="n">
        <v>200814.39</v>
      </c>
      <c r="I11" s="5" t="inlineStr">
        <is>
          <t>AUD</t>
        </is>
      </c>
      <c r="J11" s="8">
        <f>IF($I11="AUD",Assumptions!$B$2,Assumptions!$B$3)</f>
        <v/>
      </c>
      <c r="K11" s="9">
        <f>$G11*$H11*$J11</f>
        <v/>
      </c>
      <c r="L11" s="9">
        <f>$K11*Assumptions!$B$4</f>
        <v/>
      </c>
      <c r="M11" s="9">
        <f>RawTx[[#This Row],[Value USD]]/RawTx[[#This Row],[Quantity]]</f>
        <v/>
      </c>
      <c r="N11" s="9">
        <f>RawTx[[#This Row],[Value IDR]]/RawTx[[#This Row],[Quantity]]</f>
        <v/>
      </c>
      <c r="O11" s="4" t="inlineStr">
        <is>
          <t>RTIO-KOM 830E-5 HPT STD-BROCKMAN 4 C/W ACCESSORIES</t>
        </is>
      </c>
      <c r="P11" s="5" t="inlineStr">
        <is>
          <t>Komatsu</t>
        </is>
      </c>
      <c r="Q11" s="13" t="inlineStr">
        <is>
          <t>830E-5</t>
        </is>
      </c>
      <c r="R11" s="7" t="n">
        <v>28425</v>
      </c>
      <c r="S11" s="7">
        <f>IFERROR($R11/$G11,"")</f>
        <v/>
      </c>
      <c r="T11" s="7" t="n">
        <v>255209.24</v>
      </c>
      <c r="U11" s="7" t="n">
        <v>9783.02</v>
      </c>
      <c r="V11" s="7" t="n">
        <v>284859</v>
      </c>
      <c r="W11" s="9">
        <f>IF(ISNUMBER($T11),$T11*$J11*Assumptions!$B$4,"NA")</f>
        <v/>
      </c>
      <c r="X11" s="9">
        <f>IF(ISNUMBER($U11),$U11*$J11*Assumptions!$B$4,"NA")</f>
        <v/>
      </c>
      <c r="Y11" s="9">
        <f>IF(ISNUMBER($V11),$V11*$J11*Assumptions!$B$4,"NA")</f>
        <v/>
      </c>
    </row>
    <row r="12">
      <c r="A12" s="5" t="inlineStr">
        <is>
          <t>Austin Engineering</t>
        </is>
      </c>
      <c r="B12" s="11" t="inlineStr">
        <is>
          <t>Dump bodies/truck trays</t>
        </is>
      </c>
      <c r="C12" s="5" t="inlineStr">
        <is>
          <t>Hamersley Iron Pty Limited</t>
        </is>
      </c>
      <c r="D12" s="5" t="inlineStr">
        <is>
          <t>Owner</t>
        </is>
      </c>
      <c r="E12" s="5" t="inlineStr">
        <is>
          <t>Australia</t>
        </is>
      </c>
      <c r="F12" s="5" t="n">
        <v>2026</v>
      </c>
      <c r="G12" s="5" t="n">
        <v>3</v>
      </c>
      <c r="H12" s="7" t="n">
        <v>198055.88</v>
      </c>
      <c r="I12" s="5" t="inlineStr">
        <is>
          <t>AUD</t>
        </is>
      </c>
      <c r="J12" s="8">
        <f>IF($I12="AUD",Assumptions!$B$2,Assumptions!$B$3)</f>
        <v/>
      </c>
      <c r="K12" s="9">
        <f>$G12*$H12*$J12</f>
        <v/>
      </c>
      <c r="L12" s="9">
        <f>$K12*Assumptions!$B$4</f>
        <v/>
      </c>
      <c r="M12" s="9">
        <f>RawTx[[#This Row],[Value USD]]/RawTx[[#This Row],[Quantity]]</f>
        <v/>
      </c>
      <c r="N12" s="9">
        <f>RawTx[[#This Row],[Value IDR]]/RawTx[[#This Row],[Quantity]]</f>
        <v/>
      </c>
      <c r="O12" s="4" t="inlineStr">
        <is>
          <t>RTIO-KOM 830E-1 HPT STD - BROCKMAN 4 C/W ACCESSORIES</t>
        </is>
      </c>
      <c r="P12" s="5" t="inlineStr">
        <is>
          <t>Komatsu</t>
        </is>
      </c>
      <c r="Q12" s="13" t="inlineStr">
        <is>
          <t>830E-1</t>
        </is>
      </c>
      <c r="R12" s="7" t="n">
        <v>83262</v>
      </c>
      <c r="S12" s="7">
        <f>IFERROR($R12/$G12,"")</f>
        <v/>
      </c>
      <c r="T12" s="7" t="n">
        <v>252851.4</v>
      </c>
      <c r="U12" s="7" t="n">
        <v>9692.639999999999</v>
      </c>
      <c r="V12" s="7" t="n">
        <v>842838</v>
      </c>
      <c r="W12" s="9">
        <f>IF(ISNUMBER($T12),$T12*$J12*Assumptions!$B$4,"NA")</f>
        <v/>
      </c>
      <c r="X12" s="9">
        <f>IF(ISNUMBER($U12),$U12*$J12*Assumptions!$B$4,"NA")</f>
        <v/>
      </c>
      <c r="Y12" s="9">
        <f>IF(ISNUMBER($V12),$V12*$J12*Assumptions!$B$4,"NA")</f>
        <v/>
      </c>
    </row>
    <row r="13">
      <c r="A13" s="5" t="inlineStr">
        <is>
          <t>Austin Engineering</t>
        </is>
      </c>
      <c r="B13" s="11" t="inlineStr">
        <is>
          <t>Dump bodies/truck trays</t>
        </is>
      </c>
      <c r="C13" s="5" t="inlineStr">
        <is>
          <t>Hamersley Iron Pty Limited</t>
        </is>
      </c>
      <c r="D13" s="5" t="inlineStr">
        <is>
          <t>Owner</t>
        </is>
      </c>
      <c r="E13" s="5" t="inlineStr">
        <is>
          <t>Australia</t>
        </is>
      </c>
      <c r="F13" s="5" t="n">
        <v>2026</v>
      </c>
      <c r="G13" s="5" t="n">
        <v>2</v>
      </c>
      <c r="H13" s="7" t="n">
        <v>202217.24</v>
      </c>
      <c r="I13" s="5" t="inlineStr">
        <is>
          <t>AUD</t>
        </is>
      </c>
      <c r="J13" s="8">
        <f>IF($I13="AUD",Assumptions!$B$2,Assumptions!$B$3)</f>
        <v/>
      </c>
      <c r="K13" s="9">
        <f>$G13*$H13*$J13</f>
        <v/>
      </c>
      <c r="L13" s="9">
        <f>$K13*Assumptions!$B$4</f>
        <v/>
      </c>
      <c r="M13" s="9">
        <f>RawTx[[#This Row],[Value USD]]/RawTx[[#This Row],[Quantity]]</f>
        <v/>
      </c>
      <c r="N13" s="9">
        <f>RawTx[[#This Row],[Value IDR]]/RawTx[[#This Row],[Quantity]]</f>
        <v/>
      </c>
      <c r="O13" s="4" t="inlineStr">
        <is>
          <t>RTIO-KOM 830E-5 HPT STD (177394B) HOPE DOWNS 1 EXP C/W ACCESSORIES</t>
        </is>
      </c>
      <c r="P13" s="5" t="inlineStr">
        <is>
          <t>Komatsu</t>
        </is>
      </c>
      <c r="Q13" s="13" t="inlineStr">
        <is>
          <t>830E-5</t>
        </is>
      </c>
      <c r="R13" s="7" t="n">
        <v>56850</v>
      </c>
      <c r="S13" s="7">
        <f>IFERROR($R13/$G13,"")</f>
        <v/>
      </c>
      <c r="T13" s="7" t="n">
        <v>255209.24</v>
      </c>
      <c r="U13" s="7" t="n">
        <v>9783.02</v>
      </c>
      <c r="V13" s="7" t="n">
        <v>573697.9399999999</v>
      </c>
      <c r="W13" s="9">
        <f>IF(ISNUMBER($T13),$T13*$J13*Assumptions!$B$4,"NA")</f>
        <v/>
      </c>
      <c r="X13" s="9">
        <f>IF(ISNUMBER($U13),$U13*$J13*Assumptions!$B$4,"NA")</f>
        <v/>
      </c>
      <c r="Y13" s="9">
        <f>IF(ISNUMBER($V13),$V13*$J13*Assumptions!$B$4,"NA")</f>
        <v/>
      </c>
    </row>
    <row r="14">
      <c r="A14" s="5" t="inlineStr">
        <is>
          <t>Austin Engineering</t>
        </is>
      </c>
      <c r="B14" s="11" t="inlineStr">
        <is>
          <t>Dump bodies/truck trays</t>
        </is>
      </c>
      <c r="C14" s="5" t="inlineStr">
        <is>
          <t>Hamersley Iron Pty Limited</t>
        </is>
      </c>
      <c r="D14" s="5" t="inlineStr">
        <is>
          <t>Owner</t>
        </is>
      </c>
      <c r="E14" s="5" t="inlineStr">
        <is>
          <t>Australia</t>
        </is>
      </c>
      <c r="F14" s="5" t="n">
        <v>2026</v>
      </c>
      <c r="G14" s="5" t="n">
        <v>3</v>
      </c>
      <c r="H14" s="7" t="n">
        <v>204037.44</v>
      </c>
      <c r="I14" s="5" t="inlineStr">
        <is>
          <t>AUD</t>
        </is>
      </c>
      <c r="J14" s="8">
        <f>IF($I14="AUD",Assumptions!$B$2,Assumptions!$B$3)</f>
        <v/>
      </c>
      <c r="K14" s="9">
        <f>$G14*$H14*$J14</f>
        <v/>
      </c>
      <c r="L14" s="9">
        <f>$K14*Assumptions!$B$4</f>
        <v/>
      </c>
      <c r="M14" s="9">
        <f>RawTx[[#This Row],[Value USD]]/RawTx[[#This Row],[Quantity]]</f>
        <v/>
      </c>
      <c r="N14" s="9">
        <f>RawTx[[#This Row],[Value IDR]]/RawTx[[#This Row],[Quantity]]</f>
        <v/>
      </c>
      <c r="O14" s="4" t="inlineStr">
        <is>
          <t>RTIO-KOM 830E-5 HPT STD (177394B) HOPE DOWNS 1 EXP C/W ACCESSORIES PO R...</t>
        </is>
      </c>
      <c r="P14" s="5" t="inlineStr">
        <is>
          <t>Komatsu</t>
        </is>
      </c>
      <c r="Q14" s="13" t="inlineStr">
        <is>
          <t>830E-5</t>
        </is>
      </c>
      <c r="R14" s="7" t="n">
        <v>85275</v>
      </c>
      <c r="S14" s="7">
        <f>IFERROR($R14/$G14,"")</f>
        <v/>
      </c>
      <c r="T14" s="7" t="n">
        <v>34421.88</v>
      </c>
      <c r="U14" s="7" t="n">
        <v>3598.81</v>
      </c>
      <c r="V14" s="7" t="n">
        <v>860546.91</v>
      </c>
      <c r="W14" s="9">
        <f>IF(ISNUMBER($T14),$T14*$J14*Assumptions!$B$4,"NA")</f>
        <v/>
      </c>
      <c r="X14" s="9">
        <f>IF(ISNUMBER($U14),$U14*$J14*Assumptions!$B$4,"NA")</f>
        <v/>
      </c>
      <c r="Y14" s="9">
        <f>IF(ISNUMBER($V14),$V14*$J14*Assumptions!$B$4,"NA")</f>
        <v/>
      </c>
    </row>
    <row r="15">
      <c r="A15" s="5" t="inlineStr">
        <is>
          <t>Austin Engineering</t>
        </is>
      </c>
      <c r="B15" s="11" t="inlineStr">
        <is>
          <t>Dump bodies/truck trays</t>
        </is>
      </c>
      <c r="C15" s="5" t="inlineStr">
        <is>
          <t>Hamersley Iron Pty Limited</t>
        </is>
      </c>
      <c r="D15" s="5" t="inlineStr">
        <is>
          <t>Owner</t>
        </is>
      </c>
      <c r="E15" s="5" t="inlineStr">
        <is>
          <t>Australia</t>
        </is>
      </c>
      <c r="F15" s="5" t="n">
        <v>2026</v>
      </c>
      <c r="G15" s="5" t="n">
        <v>1</v>
      </c>
      <c r="H15" s="7" t="n">
        <v>204037.44</v>
      </c>
      <c r="I15" s="5" t="inlineStr">
        <is>
          <t>AUD</t>
        </is>
      </c>
      <c r="J15" s="8">
        <f>IF($I15="AUD",Assumptions!$B$2,Assumptions!$B$3)</f>
        <v/>
      </c>
      <c r="K15" s="9">
        <f>$G15*$H15*$J15</f>
        <v/>
      </c>
      <c r="L15" s="9">
        <f>$K15*Assumptions!$B$4</f>
        <v/>
      </c>
      <c r="M15" s="9">
        <f>RawTx[[#This Row],[Value USD]]/RawTx[[#This Row],[Quantity]]</f>
        <v/>
      </c>
      <c r="N15" s="9">
        <f>RawTx[[#This Row],[Value IDR]]/RawTx[[#This Row],[Quantity]]</f>
        <v/>
      </c>
      <c r="O15" s="4" t="inlineStr">
        <is>
          <t>RTIO-KOM 830E-AC HPT HD (177394B) HOPE DOWNS 4 C/W ACCESSORIES PO REFE...</t>
        </is>
      </c>
      <c r="P15" s="5" t="inlineStr">
        <is>
          <t>Komatsu</t>
        </is>
      </c>
      <c r="Q15" s="13" t="inlineStr">
        <is>
          <t>830E-AC</t>
        </is>
      </c>
      <c r="R15" s="7" t="n">
        <v>28425</v>
      </c>
      <c r="S15" s="7">
        <f>IFERROR($R15/$G15,"")</f>
        <v/>
      </c>
      <c r="T15" s="7" t="n">
        <v>34421.88</v>
      </c>
      <c r="U15" s="7" t="n">
        <v>3598.81</v>
      </c>
      <c r="V15" s="7" t="n">
        <v>286848.97</v>
      </c>
      <c r="W15" s="9">
        <f>IF(ISNUMBER($T15),$T15*$J15*Assumptions!$B$4,"NA")</f>
        <v/>
      </c>
      <c r="X15" s="9">
        <f>IF(ISNUMBER($U15),$U15*$J15*Assumptions!$B$4,"NA")</f>
        <v/>
      </c>
      <c r="Y15" s="9">
        <f>IF(ISNUMBER($V15),$V15*$J15*Assumptions!$B$4,"NA")</f>
        <v/>
      </c>
    </row>
    <row r="16">
      <c r="A16" s="5" t="inlineStr">
        <is>
          <t>Austin Engineering</t>
        </is>
      </c>
      <c r="B16" s="11" t="inlineStr">
        <is>
          <t>Dump bodies/truck trays</t>
        </is>
      </c>
      <c r="C16" s="5" t="inlineStr">
        <is>
          <t>Hamersley Iron Pty Limited</t>
        </is>
      </c>
      <c r="D16" s="5" t="inlineStr">
        <is>
          <t>Owner</t>
        </is>
      </c>
      <c r="E16" s="5" t="inlineStr">
        <is>
          <t>Australia</t>
        </is>
      </c>
      <c r="F16" s="5" t="n">
        <v>2026</v>
      </c>
      <c r="G16" s="5" t="n">
        <v>2</v>
      </c>
      <c r="H16" s="7" t="n">
        <v>204037.44</v>
      </c>
      <c r="I16" s="5" t="inlineStr">
        <is>
          <t>AUD</t>
        </is>
      </c>
      <c r="J16" s="8">
        <f>IF($I16="AUD",Assumptions!$B$2,Assumptions!$B$3)</f>
        <v/>
      </c>
      <c r="K16" s="9">
        <f>$G16*$H16*$J16</f>
        <v/>
      </c>
      <c r="L16" s="9">
        <f>$K16*Assumptions!$B$4</f>
        <v/>
      </c>
      <c r="M16" s="9">
        <f>RawTx[[#This Row],[Value USD]]/RawTx[[#This Row],[Quantity]]</f>
        <v/>
      </c>
      <c r="N16" s="9">
        <f>RawTx[[#This Row],[Value IDR]]/RawTx[[#This Row],[Quantity]]</f>
        <v/>
      </c>
      <c r="O16" s="4" t="inlineStr">
        <is>
          <t>RTIO-KOM 830E-5 HPT STD (177394B) HOPE DOWNS 2 EXP C/W ACCESSORIES PO F...</t>
        </is>
      </c>
      <c r="P16" s="5" t="inlineStr">
        <is>
          <t>Komatsu</t>
        </is>
      </c>
      <c r="Q16" s="13" t="inlineStr">
        <is>
          <t>830E-5</t>
        </is>
      </c>
      <c r="R16" s="7" t="n">
        <v>56850</v>
      </c>
      <c r="S16" s="7">
        <f>IFERROR($R16/$G16,"")</f>
        <v/>
      </c>
      <c r="T16" s="7" t="n">
        <v>34421.88</v>
      </c>
      <c r="U16" s="7" t="n">
        <v>3598.81</v>
      </c>
      <c r="V16" s="7" t="n">
        <v>573697.9399999999</v>
      </c>
      <c r="W16" s="9">
        <f>IF(ISNUMBER($T16),$T16*$J16*Assumptions!$B$4,"NA")</f>
        <v/>
      </c>
      <c r="X16" s="9">
        <f>IF(ISNUMBER($U16),$U16*$J16*Assumptions!$B$4,"NA")</f>
        <v/>
      </c>
      <c r="Y16" s="9">
        <f>IF(ISNUMBER($V16),$V16*$J16*Assumptions!$B$4,"NA")</f>
        <v/>
      </c>
    </row>
    <row r="17">
      <c r="A17" s="5" t="inlineStr">
        <is>
          <t>Austin Engineering</t>
        </is>
      </c>
      <c r="B17" s="11" t="inlineStr">
        <is>
          <t>Dump bodies/truck trays</t>
        </is>
      </c>
      <c r="C17" s="5" t="inlineStr">
        <is>
          <t>Hamersley Iron Pty Limited</t>
        </is>
      </c>
      <c r="D17" s="5" t="inlineStr">
        <is>
          <t>Owner</t>
        </is>
      </c>
      <c r="E17" s="5" t="inlineStr">
        <is>
          <t>Australia</t>
        </is>
      </c>
      <c r="F17" s="5" t="n">
        <v>2026</v>
      </c>
      <c r="G17" s="5" t="n">
        <v>5</v>
      </c>
      <c r="H17" s="7" t="n">
        <v>200574.22</v>
      </c>
      <c r="I17" s="5" t="inlineStr">
        <is>
          <t>AUD</t>
        </is>
      </c>
      <c r="J17" s="8">
        <f>IF($I17="AUD",Assumptions!$B$2,Assumptions!$B$3)</f>
        <v/>
      </c>
      <c r="K17" s="9">
        <f>$G17*$H17*$J17</f>
        <v/>
      </c>
      <c r="L17" s="9">
        <f>$K17*Assumptions!$B$4</f>
        <v/>
      </c>
      <c r="M17" s="9">
        <f>RawTx[[#This Row],[Value USD]]/RawTx[[#This Row],[Quantity]]</f>
        <v/>
      </c>
      <c r="N17" s="9">
        <f>RawTx[[#This Row],[Value IDR]]/RawTx[[#This Row],[Quantity]]</f>
        <v/>
      </c>
      <c r="O17" s="4" t="inlineStr">
        <is>
          <t>RTIO-KOM 830E-5 HPT STD (177394B) HOPE DOWNS 2 EXP C/W ACCESSORIES</t>
        </is>
      </c>
      <c r="P17" s="5" t="inlineStr">
        <is>
          <t>Komatsu</t>
        </is>
      </c>
      <c r="Q17" s="13" t="inlineStr">
        <is>
          <t>830E-5</t>
        </is>
      </c>
      <c r="R17" s="7" t="n">
        <v>142125</v>
      </c>
      <c r="S17" s="7">
        <f>IFERROR($R17/$G17,"")</f>
        <v/>
      </c>
      <c r="T17" s="7" t="n">
        <v>258164.07</v>
      </c>
      <c r="U17" s="7" t="n">
        <v>9896.290000000001</v>
      </c>
      <c r="V17" s="7" t="n">
        <v>1434244.85</v>
      </c>
      <c r="W17" s="9">
        <f>IF(ISNUMBER($T17),$T17*$J17*Assumptions!$B$4,"NA")</f>
        <v/>
      </c>
      <c r="X17" s="9">
        <f>IF(ISNUMBER($U17),$U17*$J17*Assumptions!$B$4,"NA")</f>
        <v/>
      </c>
      <c r="Y17" s="9">
        <f>IF(ISNUMBER($V17),$V17*$J17*Assumptions!$B$4,"NA")</f>
        <v/>
      </c>
    </row>
    <row r="18">
      <c r="A18" s="5" t="inlineStr">
        <is>
          <t>Austin Engineering</t>
        </is>
      </c>
      <c r="B18" s="11" t="inlineStr">
        <is>
          <t>Dump bodies/truck trays</t>
        </is>
      </c>
      <c r="C18" s="5" t="inlineStr">
        <is>
          <t>Hamersley Iron Pty Limited</t>
        </is>
      </c>
      <c r="D18" s="5" t="inlineStr">
        <is>
          <t>Owner</t>
        </is>
      </c>
      <c r="E18" s="5" t="inlineStr">
        <is>
          <t>Australia</t>
        </is>
      </c>
      <c r="F18" s="5" t="n">
        <v>2026</v>
      </c>
      <c r="G18" s="5" t="n">
        <v>1</v>
      </c>
      <c r="H18" s="7" t="n">
        <v>200574.22</v>
      </c>
      <c r="I18" s="5" t="inlineStr">
        <is>
          <t>AUD</t>
        </is>
      </c>
      <c r="J18" s="8">
        <f>IF($I18="AUD",Assumptions!$B$2,Assumptions!$B$3)</f>
        <v/>
      </c>
      <c r="K18" s="9">
        <f>$G18*$H18*$J18</f>
        <v/>
      </c>
      <c r="L18" s="9">
        <f>$K18*Assumptions!$B$4</f>
        <v/>
      </c>
      <c r="M18" s="9">
        <f>RawTx[[#This Row],[Value USD]]/RawTx[[#This Row],[Quantity]]</f>
        <v/>
      </c>
      <c r="N18" s="9">
        <f>RawTx[[#This Row],[Value IDR]]/RawTx[[#This Row],[Quantity]]</f>
        <v/>
      </c>
      <c r="O18" s="4" t="inlineStr">
        <is>
          <t>RTIO-KOM 830E-5 HPT STD (177394B) HOPE DOWNS 1 EXP C/W ACCESSORIES</t>
        </is>
      </c>
      <c r="P18" s="5" t="inlineStr">
        <is>
          <t>Komatsu</t>
        </is>
      </c>
      <c r="Q18" s="13" t="inlineStr">
        <is>
          <t>830E-5</t>
        </is>
      </c>
      <c r="R18" s="7" t="n">
        <v>28425</v>
      </c>
      <c r="S18" s="7">
        <f>IFERROR($R18/$G18,"")</f>
        <v/>
      </c>
      <c r="T18" s="7" t="n">
        <v>258164.07</v>
      </c>
      <c r="U18" s="7" t="n">
        <v>9896.290000000001</v>
      </c>
      <c r="V18" s="7" t="n">
        <v>286848.97</v>
      </c>
      <c r="W18" s="9">
        <f>IF(ISNUMBER($T18),$T18*$J18*Assumptions!$B$4,"NA")</f>
        <v/>
      </c>
      <c r="X18" s="9">
        <f>IF(ISNUMBER($U18),$U18*$J18*Assumptions!$B$4,"NA")</f>
        <v/>
      </c>
      <c r="Y18" s="9">
        <f>IF(ISNUMBER($V18),$V18*$J18*Assumptions!$B$4,"NA")</f>
        <v/>
      </c>
    </row>
    <row r="19">
      <c r="A19" s="5" t="inlineStr">
        <is>
          <t>Austin Engineering</t>
        </is>
      </c>
      <c r="B19" s="11" t="inlineStr">
        <is>
          <t>Dump bodies/truck trays</t>
        </is>
      </c>
      <c r="C19" s="5" t="inlineStr">
        <is>
          <t>Hamersley Iron Pty Limited</t>
        </is>
      </c>
      <c r="D19" s="5" t="inlineStr">
        <is>
          <t>Owner</t>
        </is>
      </c>
      <c r="E19" s="5" t="inlineStr">
        <is>
          <t>Australia</t>
        </is>
      </c>
      <c r="F19" s="5" t="n">
        <v>2026</v>
      </c>
      <c r="G19" s="5" t="n">
        <v>4</v>
      </c>
      <c r="H19" s="7" t="n">
        <v>203124.37</v>
      </c>
      <c r="I19" s="5" t="inlineStr">
        <is>
          <t>AUD</t>
        </is>
      </c>
      <c r="J19" s="8">
        <f>IF($I19="AUD",Assumptions!$B$2,Assumptions!$B$3)</f>
        <v/>
      </c>
      <c r="K19" s="9">
        <f>$G19*$H19*$J19</f>
        <v/>
      </c>
      <c r="L19" s="9">
        <f>$K19*Assumptions!$B$4</f>
        <v/>
      </c>
      <c r="M19" s="9">
        <f>RawTx[[#This Row],[Value USD]]/RawTx[[#This Row],[Quantity]]</f>
        <v/>
      </c>
      <c r="N19" s="9">
        <f>RawTx[[#This Row],[Value IDR]]/RawTx[[#This Row],[Quantity]]</f>
        <v/>
      </c>
      <c r="O19" s="4" t="inlineStr">
        <is>
          <t>RTIO-KOM 830E-5 HPT STD (177394B) HOPE DOWNS 1 EXP C/W ACCESSORIES PO R...</t>
        </is>
      </c>
      <c r="P19" s="5" t="inlineStr">
        <is>
          <t>Komatsu</t>
        </is>
      </c>
      <c r="Q19" s="13" t="inlineStr">
        <is>
          <t>830E-5</t>
        </is>
      </c>
      <c r="R19" s="7" t="n">
        <v>113700</v>
      </c>
      <c r="S19" s="7">
        <f>IFERROR($R19/$G19,"")</f>
        <v/>
      </c>
      <c r="T19" s="7" t="n">
        <v>34421.88</v>
      </c>
      <c r="U19" s="7" t="n">
        <v>3598.81</v>
      </c>
      <c r="V19" s="7" t="n">
        <v>1147395.88</v>
      </c>
      <c r="W19" s="9">
        <f>IF(ISNUMBER($T19),$T19*$J19*Assumptions!$B$4,"NA")</f>
        <v/>
      </c>
      <c r="X19" s="9">
        <f>IF(ISNUMBER($U19),$U19*$J19*Assumptions!$B$4,"NA")</f>
        <v/>
      </c>
      <c r="Y19" s="9">
        <f>IF(ISNUMBER($V19),$V19*$J19*Assumptions!$B$4,"NA")</f>
        <v/>
      </c>
    </row>
    <row r="20">
      <c r="A20" s="5" t="inlineStr">
        <is>
          <t>Austin Engineering</t>
        </is>
      </c>
      <c r="B20" s="11" t="inlineStr">
        <is>
          <t>Dump bodies/truck trays</t>
        </is>
      </c>
      <c r="C20" s="5" t="inlineStr">
        <is>
          <t>Hamersley Iron Pty Limited</t>
        </is>
      </c>
      <c r="D20" s="5" t="inlineStr">
        <is>
          <t>Owner</t>
        </is>
      </c>
      <c r="E20" s="5" t="inlineStr">
        <is>
          <t>Australia</t>
        </is>
      </c>
      <c r="F20" s="5" t="n">
        <v>2026</v>
      </c>
      <c r="G20" s="5" t="n">
        <v>2</v>
      </c>
      <c r="H20" s="7" t="n">
        <v>203124.37</v>
      </c>
      <c r="I20" s="5" t="inlineStr">
        <is>
          <t>AUD</t>
        </is>
      </c>
      <c r="J20" s="8">
        <f>IF($I20="AUD",Assumptions!$B$2,Assumptions!$B$3)</f>
        <v/>
      </c>
      <c r="K20" s="9">
        <f>$G20*$H20*$J20</f>
        <v/>
      </c>
      <c r="L20" s="9">
        <f>$K20*Assumptions!$B$4</f>
        <v/>
      </c>
      <c r="M20" s="9">
        <f>RawTx[[#This Row],[Value USD]]/RawTx[[#This Row],[Quantity]]</f>
        <v/>
      </c>
      <c r="N20" s="9">
        <f>RawTx[[#This Row],[Value IDR]]/RawTx[[#This Row],[Quantity]]</f>
        <v/>
      </c>
      <c r="O20" s="4" t="inlineStr">
        <is>
          <t>RTIO-KOM 830E-5 HPT STD (177394B) HOPE DOWNS 2 EXP C/W ACCESSORIES PO F...</t>
        </is>
      </c>
      <c r="P20" s="5" t="inlineStr">
        <is>
          <t>Komatsu</t>
        </is>
      </c>
      <c r="Q20" s="13" t="inlineStr">
        <is>
          <t>830E-5</t>
        </is>
      </c>
      <c r="R20" s="7" t="n">
        <v>56850</v>
      </c>
      <c r="S20" s="7">
        <f>IFERROR($R20/$G20,"")</f>
        <v/>
      </c>
      <c r="T20" s="7" t="n">
        <v>34421.88</v>
      </c>
      <c r="U20" s="7" t="n">
        <v>3598.81</v>
      </c>
      <c r="V20" s="7" t="n">
        <v>573697.9399999999</v>
      </c>
      <c r="W20" s="9">
        <f>IF(ISNUMBER($T20),$T20*$J20*Assumptions!$B$4,"NA")</f>
        <v/>
      </c>
      <c r="X20" s="9">
        <f>IF(ISNUMBER($U20),$U20*$J20*Assumptions!$B$4,"NA")</f>
        <v/>
      </c>
      <c r="Y20" s="9">
        <f>IF(ISNUMBER($V20),$V20*$J20*Assumptions!$B$4,"NA")</f>
        <v/>
      </c>
    </row>
    <row r="21">
      <c r="A21" s="5" t="inlineStr">
        <is>
          <t>Austin Engineering</t>
        </is>
      </c>
      <c r="B21" s="11" t="inlineStr">
        <is>
          <t>Dump bodies/truck trays</t>
        </is>
      </c>
      <c r="C21" s="5" t="inlineStr">
        <is>
          <t>Hamersley Iron Pty Limited</t>
        </is>
      </c>
      <c r="D21" s="5" t="inlineStr">
        <is>
          <t>Owner</t>
        </is>
      </c>
      <c r="E21" s="5" t="inlineStr">
        <is>
          <t>Australia</t>
        </is>
      </c>
      <c r="F21" s="5" t="n">
        <v>2026</v>
      </c>
      <c r="G21" s="5" t="n">
        <v>6</v>
      </c>
      <c r="H21" s="7" t="n">
        <v>202540.96</v>
      </c>
      <c r="I21" s="5" t="inlineStr">
        <is>
          <t>AUD</t>
        </is>
      </c>
      <c r="J21" s="8">
        <f>IF($I21="AUD",Assumptions!$B$2,Assumptions!$B$3)</f>
        <v/>
      </c>
      <c r="K21" s="9">
        <f>$G21*$H21*$J21</f>
        <v/>
      </c>
      <c r="L21" s="9">
        <f>$K21*Assumptions!$B$4</f>
        <v/>
      </c>
      <c r="M21" s="9">
        <f>RawTx[[#This Row],[Value USD]]/RawTx[[#This Row],[Quantity]]</f>
        <v/>
      </c>
      <c r="N21" s="9">
        <f>RawTx[[#This Row],[Value IDR]]/RawTx[[#This Row],[Quantity]]</f>
        <v/>
      </c>
      <c r="O21" s="4" t="inlineStr">
        <is>
          <t>RIO-TINTO - KOMATSU 830E-5 HPT STD (177394B) - BROCKMAN 4 C/W ACCESSORI...</t>
        </is>
      </c>
      <c r="P21" s="5" t="inlineStr">
        <is>
          <t>Komatsu</t>
        </is>
      </c>
      <c r="Q21" s="13" t="inlineStr">
        <is>
          <t>830E-5</t>
        </is>
      </c>
      <c r="R21" s="7" t="n">
        <v>170550</v>
      </c>
      <c r="S21" s="7">
        <f>IFERROR($R21/$G21,"")</f>
        <v/>
      </c>
      <c r="T21" s="7" t="n">
        <v>258164.07</v>
      </c>
      <c r="U21" s="7" t="n">
        <v>9896.290000000001</v>
      </c>
      <c r="V21" s="7" t="n">
        <v>1721093.82</v>
      </c>
      <c r="W21" s="9">
        <f>IF(ISNUMBER($T21),$T21*$J21*Assumptions!$B$4,"NA")</f>
        <v/>
      </c>
      <c r="X21" s="9">
        <f>IF(ISNUMBER($U21),$U21*$J21*Assumptions!$B$4,"NA")</f>
        <v/>
      </c>
      <c r="Y21" s="9">
        <f>IF(ISNUMBER($V21),$V21*$J21*Assumptions!$B$4,"NA")</f>
        <v/>
      </c>
    </row>
    <row r="22">
      <c r="A22" s="5" t="inlineStr">
        <is>
          <t>Austin Engineering</t>
        </is>
      </c>
      <c r="B22" s="11" t="inlineStr">
        <is>
          <t>Dump bodies/truck trays</t>
        </is>
      </c>
      <c r="C22" s="5" t="inlineStr">
        <is>
          <t>Hamersley Iron Pty Limited</t>
        </is>
      </c>
      <c r="D22" s="5" t="inlineStr">
        <is>
          <t>Owner</t>
        </is>
      </c>
      <c r="E22" s="5" t="inlineStr">
        <is>
          <t>Australia</t>
        </is>
      </c>
      <c r="F22" s="5" t="n">
        <v>2026</v>
      </c>
      <c r="G22" s="5" t="n">
        <v>2</v>
      </c>
      <c r="H22" s="7" t="n">
        <v>192116.14</v>
      </c>
      <c r="I22" s="5" t="inlineStr">
        <is>
          <t>AUD</t>
        </is>
      </c>
      <c r="J22" s="8">
        <f>IF($I22="AUD",Assumptions!$B$2,Assumptions!$B$3)</f>
        <v/>
      </c>
      <c r="K22" s="9">
        <f>$G22*$H22*$J22</f>
        <v/>
      </c>
      <c r="L22" s="9">
        <f>$K22*Assumptions!$B$4</f>
        <v/>
      </c>
      <c r="M22" s="9">
        <f>RawTx[[#This Row],[Value USD]]/RawTx[[#This Row],[Quantity]]</f>
        <v/>
      </c>
      <c r="N22" s="9">
        <f>RawTx[[#This Row],[Value IDR]]/RawTx[[#This Row],[Quantity]]</f>
        <v/>
      </c>
      <c r="O22" s="4" t="inlineStr">
        <is>
          <t>RIO-TINTO - KOMATSU 830E-1 HPT STD (177394B) - BROCKMAN 4 C/W ACCESSORI...</t>
        </is>
      </c>
      <c r="P22" s="5" t="inlineStr">
        <is>
          <t>Komatsu</t>
        </is>
      </c>
      <c r="Q22" s="13" t="inlineStr">
        <is>
          <t>830E-1</t>
        </is>
      </c>
      <c r="R22" s="7" t="n">
        <v>56850</v>
      </c>
      <c r="S22" s="7">
        <f>IFERROR($R22/$G22,"")</f>
        <v/>
      </c>
      <c r="T22" s="7" t="inlineStr">
        <is>
          <t>NA</t>
        </is>
      </c>
      <c r="U22" s="7" t="inlineStr">
        <is>
          <t>NA</t>
        </is>
      </c>
      <c r="V22" s="7" t="inlineStr">
        <is>
          <t>NA</t>
        </is>
      </c>
      <c r="W22" s="9">
        <f>IF(ISNUMBER($T22),$T22*$J22*Assumptions!$B$4,"NA")</f>
        <v/>
      </c>
      <c r="X22" s="9">
        <f>IF(ISNUMBER($U22),$U22*$J22*Assumptions!$B$4,"NA")</f>
        <v/>
      </c>
      <c r="Y22" s="9">
        <f>IF(ISNUMBER($V22),$V22*$J22*Assumptions!$B$4,"NA")</f>
        <v/>
      </c>
    </row>
    <row r="23">
      <c r="A23" s="5" t="inlineStr">
        <is>
          <t>Austin Engineering</t>
        </is>
      </c>
      <c r="B23" s="11" t="inlineStr">
        <is>
          <t>Dump bodies/truck trays</t>
        </is>
      </c>
      <c r="C23" s="5" t="inlineStr">
        <is>
          <t>Hamersley Iron Pty Limited</t>
        </is>
      </c>
      <c r="D23" s="5" t="inlineStr">
        <is>
          <t>Owner</t>
        </is>
      </c>
      <c r="E23" s="5" t="inlineStr">
        <is>
          <t>Australia</t>
        </is>
      </c>
      <c r="F23" s="5" t="n">
        <v>2026</v>
      </c>
      <c r="G23" s="5" t="n">
        <v>4</v>
      </c>
      <c r="H23" s="7" t="n">
        <v>192116.14</v>
      </c>
      <c r="I23" s="5" t="inlineStr">
        <is>
          <t>AUD</t>
        </is>
      </c>
      <c r="J23" s="8">
        <f>IF($I23="AUD",Assumptions!$B$2,Assumptions!$B$3)</f>
        <v/>
      </c>
      <c r="K23" s="9">
        <f>$G23*$H23*$J23</f>
        <v/>
      </c>
      <c r="L23" s="9">
        <f>$K23*Assumptions!$B$4</f>
        <v/>
      </c>
      <c r="M23" s="9">
        <f>RawTx[[#This Row],[Value USD]]/RawTx[[#This Row],[Quantity]]</f>
        <v/>
      </c>
      <c r="N23" s="9">
        <f>RawTx[[#This Row],[Value IDR]]/RawTx[[#This Row],[Quantity]]</f>
        <v/>
      </c>
      <c r="O23" s="4" t="inlineStr">
        <is>
          <t>RIO-TINTO - KOMATSU 830E-1 HPT STD (177394B) - BROCKMAN 4 C/W ACCESSORI...</t>
        </is>
      </c>
      <c r="P23" s="5" t="inlineStr">
        <is>
          <t>Komatsu</t>
        </is>
      </c>
      <c r="Q23" s="13" t="inlineStr">
        <is>
          <t>830E-1</t>
        </is>
      </c>
      <c r="R23" s="7" t="n">
        <v>113700</v>
      </c>
      <c r="S23" s="7">
        <f>IFERROR($R23/$G23,"")</f>
        <v/>
      </c>
      <c r="T23" s="7" t="n">
        <v>34421.88</v>
      </c>
      <c r="U23" s="7" t="n">
        <v>3598.81</v>
      </c>
      <c r="V23" s="7" t="n">
        <v>1147395.88</v>
      </c>
      <c r="W23" s="9">
        <f>IF(ISNUMBER($T23),$T23*$J23*Assumptions!$B$4,"NA")</f>
        <v/>
      </c>
      <c r="X23" s="9">
        <f>IF(ISNUMBER($U23),$U23*$J23*Assumptions!$B$4,"NA")</f>
        <v/>
      </c>
      <c r="Y23" s="9">
        <f>IF(ISNUMBER($V23),$V23*$J23*Assumptions!$B$4,"NA")</f>
        <v/>
      </c>
    </row>
    <row r="24">
      <c r="A24" s="5" t="inlineStr">
        <is>
          <t>Austin Engineering</t>
        </is>
      </c>
      <c r="B24" s="11" t="inlineStr">
        <is>
          <t>Dump bodies/truck trays</t>
        </is>
      </c>
      <c r="C24" s="5" t="inlineStr">
        <is>
          <t>Hamersley Iron Pty Limited</t>
        </is>
      </c>
      <c r="D24" s="5" t="inlineStr">
        <is>
          <t>Owner</t>
        </is>
      </c>
      <c r="E24" s="5" t="inlineStr">
        <is>
          <t>Australia</t>
        </is>
      </c>
      <c r="F24" s="5" t="n">
        <v>2026</v>
      </c>
      <c r="G24" s="5" t="n">
        <v>3</v>
      </c>
      <c r="H24" s="7" t="n">
        <v>210082</v>
      </c>
      <c r="I24" s="5" t="inlineStr">
        <is>
          <t>AUD</t>
        </is>
      </c>
      <c r="J24" s="8">
        <f>IF($I24="AUD",Assumptions!$B$2,Assumptions!$B$3)</f>
        <v/>
      </c>
      <c r="K24" s="9">
        <f>$G24*$H24*$J24</f>
        <v/>
      </c>
      <c r="L24" s="9">
        <f>$K24*Assumptions!$B$4</f>
        <v/>
      </c>
      <c r="M24" s="9">
        <f>RawTx[[#This Row],[Value USD]]/RawTx[[#This Row],[Quantity]]</f>
        <v/>
      </c>
      <c r="N24" s="9">
        <f>RawTx[[#This Row],[Value IDR]]/RawTx[[#This Row],[Quantity]]</f>
        <v/>
      </c>
      <c r="O24" s="4" t="inlineStr">
        <is>
          <t>RIO-TINTO-KOMATSU 830E-5HPT STD (177086C) WESTERN RANGES C/W ACCESSO...</t>
        </is>
      </c>
      <c r="P24" s="5" t="inlineStr">
        <is>
          <t>Komatsu</t>
        </is>
      </c>
      <c r="Q24" s="13" t="inlineStr">
        <is>
          <t>830E-5</t>
        </is>
      </c>
      <c r="R24" s="7" t="n">
        <v>94500</v>
      </c>
      <c r="S24" s="7">
        <f>IFERROR($R24/$G24,"")</f>
        <v/>
      </c>
      <c r="T24" s="7" t="n">
        <v>36648.54</v>
      </c>
      <c r="U24" s="7" t="n">
        <v>3831.6</v>
      </c>
      <c r="V24" s="7" t="n">
        <v>964499.91</v>
      </c>
      <c r="W24" s="9">
        <f>IF(ISNUMBER($T24),$T24*$J24*Assumptions!$B$4,"NA")</f>
        <v/>
      </c>
      <c r="X24" s="9">
        <f>IF(ISNUMBER($U24),$U24*$J24*Assumptions!$B$4,"NA")</f>
        <v/>
      </c>
      <c r="Y24" s="9">
        <f>IF(ISNUMBER($V24),$V24*$J24*Assumptions!$B$4,"NA")</f>
        <v/>
      </c>
    </row>
    <row r="25">
      <c r="A25" s="5" t="inlineStr">
        <is>
          <t>Austin Engineering</t>
        </is>
      </c>
      <c r="B25" s="11" t="inlineStr">
        <is>
          <t>Dump bodies/truck trays</t>
        </is>
      </c>
      <c r="C25" s="5" t="inlineStr">
        <is>
          <t>Hamersley Iron Pty Limited</t>
        </is>
      </c>
      <c r="D25" s="5" t="inlineStr">
        <is>
          <t>Owner</t>
        </is>
      </c>
      <c r="E25" s="5" t="inlineStr">
        <is>
          <t>Australia</t>
        </is>
      </c>
      <c r="F25" s="5" t="n">
        <v>2026</v>
      </c>
      <c r="G25" s="5" t="n">
        <v>3</v>
      </c>
      <c r="H25" s="7" t="n">
        <v>189047</v>
      </c>
      <c r="I25" s="5" t="inlineStr">
        <is>
          <t>AUD</t>
        </is>
      </c>
      <c r="J25" s="8">
        <f>IF($I25="AUD",Assumptions!$B$2,Assumptions!$B$3)</f>
        <v/>
      </c>
      <c r="K25" s="9">
        <f>$G25*$H25*$J25</f>
        <v/>
      </c>
      <c r="L25" s="9">
        <f>$K25*Assumptions!$B$4</f>
        <v/>
      </c>
      <c r="M25" s="9">
        <f>RawTx[[#This Row],[Value USD]]/RawTx[[#This Row],[Quantity]]</f>
        <v/>
      </c>
      <c r="N25" s="9">
        <f>RawTx[[#This Row],[Value IDR]]/RawTx[[#This Row],[Quantity]]</f>
        <v/>
      </c>
      <c r="O25" s="4" t="inlineStr">
        <is>
          <t>RIO-TINTO-KOMATSU 930E-4HPT STD (177390B) WEST ANGELAS C/W ACCESSORIE...</t>
        </is>
      </c>
      <c r="P25" s="5" t="inlineStr">
        <is>
          <t>Komatsu</t>
        </is>
      </c>
      <c r="Q25" s="13" t="inlineStr">
        <is>
          <t>930E-4</t>
        </is>
      </c>
      <c r="R25" s="7" t="n">
        <v>101070</v>
      </c>
      <c r="S25" s="7">
        <f>IFERROR($R25/$G25,"")</f>
        <v/>
      </c>
      <c r="T25" s="7" t="n">
        <v>36648.54</v>
      </c>
      <c r="U25" s="7" t="n">
        <v>3831.6</v>
      </c>
      <c r="V25" s="7" t="n">
        <v>867926.91</v>
      </c>
      <c r="W25" s="9">
        <f>IF(ISNUMBER($T25),$T25*$J25*Assumptions!$B$4,"NA")</f>
        <v/>
      </c>
      <c r="X25" s="9">
        <f>IF(ISNUMBER($U25),$U25*$J25*Assumptions!$B$4,"NA")</f>
        <v/>
      </c>
      <c r="Y25" s="9">
        <f>IF(ISNUMBER($V25),$V25*$J25*Assumptions!$B$4,"NA")</f>
        <v/>
      </c>
    </row>
    <row r="26">
      <c r="A26" s="5" t="inlineStr">
        <is>
          <t>Austin Engineering</t>
        </is>
      </c>
      <c r="B26" s="11" t="inlineStr">
        <is>
          <t>Dump bodies/truck trays</t>
        </is>
      </c>
      <c r="C26" s="5" t="inlineStr">
        <is>
          <t>Hamersley Iron Pty Limited</t>
        </is>
      </c>
      <c r="D26" s="5" t="inlineStr">
        <is>
          <t>Owner</t>
        </is>
      </c>
      <c r="E26" s="5" t="inlineStr">
        <is>
          <t>Australia</t>
        </is>
      </c>
      <c r="F26" s="5" t="n">
        <v>2026</v>
      </c>
      <c r="G26" s="5" t="n">
        <v>4</v>
      </c>
      <c r="H26" s="7" t="n">
        <v>188249.86</v>
      </c>
      <c r="I26" s="5" t="inlineStr">
        <is>
          <t>AUD</t>
        </is>
      </c>
      <c r="J26" s="8">
        <f>IF($I26="AUD",Assumptions!$B$2,Assumptions!$B$3)</f>
        <v/>
      </c>
      <c r="K26" s="9">
        <f>$G26*$H26*$J26</f>
        <v/>
      </c>
      <c r="L26" s="9">
        <f>$K26*Assumptions!$B$4</f>
        <v/>
      </c>
      <c r="M26" s="9">
        <f>RawTx[[#This Row],[Value USD]]/RawTx[[#This Row],[Quantity]]</f>
        <v/>
      </c>
      <c r="N26" s="9">
        <f>RawTx[[#This Row],[Value IDR]]/RawTx[[#This Row],[Quantity]]</f>
        <v/>
      </c>
      <c r="O26" s="4" t="inlineStr">
        <is>
          <t>KOMATSU 830E-5HPT STD (177390B) HOPE DOWNS 2 EXP C/W ACCESSORIES PO RI...</t>
        </is>
      </c>
      <c r="P26" s="5" t="inlineStr">
        <is>
          <t>Komatsu</t>
        </is>
      </c>
      <c r="Q26" s="13" t="inlineStr">
        <is>
          <t>830E-5</t>
        </is>
      </c>
      <c r="R26" s="7" t="n">
        <v>113700</v>
      </c>
      <c r="S26" s="7">
        <f>IFERROR($R26/$G26,"")</f>
        <v/>
      </c>
      <c r="T26" s="7" t="n">
        <v>34520.28</v>
      </c>
      <c r="U26" s="7" t="n">
        <v>3609.09</v>
      </c>
      <c r="V26" s="7" t="n">
        <v>1147395.88</v>
      </c>
      <c r="W26" s="9">
        <f>IF(ISNUMBER($T26),$T26*$J26*Assumptions!$B$4,"NA")</f>
        <v/>
      </c>
      <c r="X26" s="9">
        <f>IF(ISNUMBER($U26),$U26*$J26*Assumptions!$B$4,"NA")</f>
        <v/>
      </c>
      <c r="Y26" s="9">
        <f>IF(ISNUMBER($V26),$V26*$J26*Assumptions!$B$4,"NA")</f>
        <v/>
      </c>
    </row>
    <row r="27">
      <c r="A27" s="5" t="inlineStr">
        <is>
          <t>Austin Engineering</t>
        </is>
      </c>
      <c r="B27" s="11" t="inlineStr">
        <is>
          <t>Dump bodies/truck trays</t>
        </is>
      </c>
      <c r="C27" s="5" t="inlineStr">
        <is>
          <t>Hamersley Iron Pty Limited</t>
        </is>
      </c>
      <c r="D27" s="5" t="inlineStr">
        <is>
          <t>Owner</t>
        </is>
      </c>
      <c r="E27" s="5" t="inlineStr">
        <is>
          <t>Australia</t>
        </is>
      </c>
      <c r="F27" s="5" t="n">
        <v>2026</v>
      </c>
      <c r="G27" s="5" t="n">
        <v>1</v>
      </c>
      <c r="H27" s="7" t="n">
        <v>189864.27</v>
      </c>
      <c r="I27" s="5" t="inlineStr">
        <is>
          <t>AUD</t>
        </is>
      </c>
      <c r="J27" s="8">
        <f>IF($I27="AUD",Assumptions!$B$2,Assumptions!$B$3)</f>
        <v/>
      </c>
      <c r="K27" s="9">
        <f>$G27*$H27*$J27</f>
        <v/>
      </c>
      <c r="L27" s="9">
        <f>$K27*Assumptions!$B$4</f>
        <v/>
      </c>
      <c r="M27" s="9">
        <f>RawTx[[#This Row],[Value USD]]/RawTx[[#This Row],[Quantity]]</f>
        <v/>
      </c>
      <c r="N27" s="9">
        <f>RawTx[[#This Row],[Value IDR]]/RawTx[[#This Row],[Quantity]]</f>
        <v/>
      </c>
      <c r="O27" s="4" t="inlineStr">
        <is>
          <t>KOMATSU 930E-4HPT STDI (177390B) WEST ANGELAS C/W ACCESSORIES PO REFF:...</t>
        </is>
      </c>
      <c r="P27" s="5" t="inlineStr">
        <is>
          <t>Komatsu</t>
        </is>
      </c>
      <c r="Q27" s="13" t="inlineStr">
        <is>
          <t>930E-4</t>
        </is>
      </c>
      <c r="R27" s="7" t="n">
        <v>34295</v>
      </c>
      <c r="S27" s="7">
        <f>IFERROR($R27/$G27,"")</f>
        <v/>
      </c>
      <c r="T27" s="7" t="n">
        <v>34520.28</v>
      </c>
      <c r="U27" s="7" t="n">
        <v>3609.09</v>
      </c>
      <c r="V27" s="7" t="n">
        <v>289308.97</v>
      </c>
      <c r="W27" s="9">
        <f>IF(ISNUMBER($T27),$T27*$J27*Assumptions!$B$4,"NA")</f>
        <v/>
      </c>
      <c r="X27" s="9">
        <f>IF(ISNUMBER($U27),$U27*$J27*Assumptions!$B$4,"NA")</f>
        <v/>
      </c>
      <c r="Y27" s="9">
        <f>IF(ISNUMBER($V27),$V27*$J27*Assumptions!$B$4,"NA")</f>
        <v/>
      </c>
    </row>
    <row r="28">
      <c r="A28" s="5" t="inlineStr">
        <is>
          <t>Austin Engineering</t>
        </is>
      </c>
      <c r="B28" s="11" t="inlineStr">
        <is>
          <t>Dump bodies/truck trays</t>
        </is>
      </c>
      <c r="C28" s="5" t="inlineStr">
        <is>
          <t>Hamersley Iron Pty Limited</t>
        </is>
      </c>
      <c r="D28" s="5" t="inlineStr">
        <is>
          <t>Owner</t>
        </is>
      </c>
      <c r="E28" s="5" t="inlineStr">
        <is>
          <t>Australia</t>
        </is>
      </c>
      <c r="F28" s="5" t="n">
        <v>2026</v>
      </c>
      <c r="G28" s="5" t="n">
        <v>1</v>
      </c>
      <c r="H28" s="7" t="n">
        <v>189864.27</v>
      </c>
      <c r="I28" s="5" t="inlineStr">
        <is>
          <t>AUD</t>
        </is>
      </c>
      <c r="J28" s="8">
        <f>IF($I28="AUD",Assumptions!$B$2,Assumptions!$B$3)</f>
        <v/>
      </c>
      <c r="K28" s="9">
        <f>$G28*$H28*$J28</f>
        <v/>
      </c>
      <c r="L28" s="9">
        <f>$K28*Assumptions!$B$4</f>
        <v/>
      </c>
      <c r="M28" s="9">
        <f>RawTx[[#This Row],[Value USD]]/RawTx[[#This Row],[Quantity]]</f>
        <v/>
      </c>
      <c r="N28" s="9">
        <f>RawTx[[#This Row],[Value IDR]]/RawTx[[#This Row],[Quantity]]</f>
        <v/>
      </c>
      <c r="O28" s="4" t="inlineStr">
        <is>
          <t>KOMATSU 930E-4HPT STD-NAMMULDI (177390B) C/W ACCESSORIES PO REFF:3016...</t>
        </is>
      </c>
      <c r="P28" s="5" t="inlineStr">
        <is>
          <t>Komatsu</t>
        </is>
      </c>
      <c r="Q28" s="13" t="inlineStr">
        <is>
          <t>930E-4</t>
        </is>
      </c>
      <c r="R28" s="7" t="n">
        <v>34295</v>
      </c>
      <c r="S28" s="7">
        <f>IFERROR($R28/$G28,"")</f>
        <v/>
      </c>
      <c r="T28" s="7" t="n">
        <v>34520.28</v>
      </c>
      <c r="U28" s="7" t="n">
        <v>3609.09</v>
      </c>
      <c r="V28" s="7" t="n">
        <v>289308.97</v>
      </c>
      <c r="W28" s="9">
        <f>IF(ISNUMBER($T28),$T28*$J28*Assumptions!$B$4,"NA")</f>
        <v/>
      </c>
      <c r="X28" s="9">
        <f>IF(ISNUMBER($U28),$U28*$J28*Assumptions!$B$4,"NA")</f>
        <v/>
      </c>
      <c r="Y28" s="9">
        <f>IF(ISNUMBER($V28),$V28*$J28*Assumptions!$B$4,"NA")</f>
        <v/>
      </c>
    </row>
    <row r="29">
      <c r="A29" s="5" t="inlineStr">
        <is>
          <t>Austin Engineering</t>
        </is>
      </c>
      <c r="B29" s="11" t="inlineStr">
        <is>
          <t>Dump bodies/truck trays</t>
        </is>
      </c>
      <c r="C29" s="5" t="inlineStr">
        <is>
          <t>Hamersley Iron Pty Limited</t>
        </is>
      </c>
      <c r="D29" s="5" t="inlineStr">
        <is>
          <t>Owner</t>
        </is>
      </c>
      <c r="E29" s="5" t="inlineStr">
        <is>
          <t>Australia</t>
        </is>
      </c>
      <c r="F29" s="5" t="n">
        <v>2026</v>
      </c>
      <c r="G29" s="5" t="n">
        <v>6</v>
      </c>
      <c r="H29" s="7" t="n">
        <v>188037.05</v>
      </c>
      <c r="I29" s="5" t="inlineStr">
        <is>
          <t>AUD</t>
        </is>
      </c>
      <c r="J29" s="8">
        <f>IF($I29="AUD",Assumptions!$B$2,Assumptions!$B$3)</f>
        <v/>
      </c>
      <c r="K29" s="9">
        <f>$G29*$H29*$J29</f>
        <v/>
      </c>
      <c r="L29" s="9">
        <f>$K29*Assumptions!$B$4</f>
        <v/>
      </c>
      <c r="M29" s="9">
        <f>RawTx[[#This Row],[Value USD]]/RawTx[[#This Row],[Quantity]]</f>
        <v/>
      </c>
      <c r="N29" s="9">
        <f>RawTx[[#This Row],[Value IDR]]/RawTx[[#This Row],[Quantity]]</f>
        <v/>
      </c>
      <c r="O29" s="4" t="inlineStr">
        <is>
          <t>NAMMULDI-930E-4 HPT STD (177390B) C/W ACCESSORIES PO REFERENCE : 30161...</t>
        </is>
      </c>
      <c r="P29" s="5" t="inlineStr">
        <is>
          <t>Komatsu</t>
        </is>
      </c>
      <c r="Q29" s="13" t="inlineStr">
        <is>
          <t>930E-4</t>
        </is>
      </c>
      <c r="R29" s="7" t="n">
        <v>205770</v>
      </c>
      <c r="S29" s="7">
        <f>IFERROR($R29/$G29,"")</f>
        <v/>
      </c>
      <c r="T29" s="7" t="n">
        <v>90090.81</v>
      </c>
      <c r="U29" s="7" t="n">
        <v>3743.19</v>
      </c>
      <c r="V29" s="7" t="n">
        <v>1735853.82</v>
      </c>
      <c r="W29" s="9">
        <f>IF(ISNUMBER($T29),$T29*$J29*Assumptions!$B$4,"NA")</f>
        <v/>
      </c>
      <c r="X29" s="9">
        <f>IF(ISNUMBER($U29),$U29*$J29*Assumptions!$B$4,"NA")</f>
        <v/>
      </c>
      <c r="Y29" s="9">
        <f>IF(ISNUMBER($V29),$V29*$J29*Assumptions!$B$4,"NA")</f>
        <v/>
      </c>
    </row>
    <row r="30">
      <c r="A30" s="5" t="inlineStr">
        <is>
          <t>Austin Engineering</t>
        </is>
      </c>
      <c r="B30" s="11" t="inlineStr">
        <is>
          <t>Dump bodies/truck trays</t>
        </is>
      </c>
      <c r="C30" s="5" t="inlineStr">
        <is>
          <t>Anglo Coal Capcoal Management</t>
        </is>
      </c>
      <c r="D30" s="5" t="inlineStr">
        <is>
          <t>Owner</t>
        </is>
      </c>
      <c r="E30" s="5" t="inlineStr">
        <is>
          <t>Australia</t>
        </is>
      </c>
      <c r="F30" s="5" t="n">
        <v>2025</v>
      </c>
      <c r="G30" s="5" t="n">
        <v>6</v>
      </c>
      <c r="H30" s="7" t="n">
        <v>285631.12</v>
      </c>
      <c r="I30" s="5" t="inlineStr">
        <is>
          <t>AUD</t>
        </is>
      </c>
      <c r="J30" s="8">
        <f>IF($I30="AUD",Assumptions!$B$2,Assumptions!$B$3)</f>
        <v/>
      </c>
      <c r="K30" s="9">
        <f>$G30*$H30*$J30</f>
        <v/>
      </c>
      <c r="L30" s="9">
        <f>$K30*Assumptions!$B$4</f>
        <v/>
      </c>
      <c r="M30" s="9">
        <f>RawTx[[#This Row],[Value USD]]/RawTx[[#This Row],[Quantity]]</f>
        <v/>
      </c>
      <c r="N30" s="9">
        <f>RawTx[[#This Row],[Value IDR]]/RawTx[[#This Row],[Quantity]]</f>
        <v/>
      </c>
      <c r="O30" s="4" t="inlineStr">
        <is>
          <t>KOMATSU 830E-5 HPT TRUCK BODY C/W ACCESSORIES, PO REFERENCE : 4503710...</t>
        </is>
      </c>
      <c r="P30" s="5" t="inlineStr">
        <is>
          <t>Komatsu</t>
        </is>
      </c>
      <c r="Q30" s="13" t="inlineStr">
        <is>
          <t>830E-5</t>
        </is>
      </c>
      <c r="R30" s="7" t="n">
        <v>212100</v>
      </c>
      <c r="S30" s="7">
        <f>IFERROR($R30/$G30,"")</f>
        <v/>
      </c>
      <c r="T30" s="7" t="n">
        <v>52711.74</v>
      </c>
      <c r="U30" s="7" t="n">
        <v>5511.01</v>
      </c>
      <c r="V30" s="7" t="n">
        <v>2635587</v>
      </c>
      <c r="W30" s="9">
        <f>IF(ISNUMBER($T30),$T30*$J30*Assumptions!$B$4,"NA")</f>
        <v/>
      </c>
      <c r="X30" s="9">
        <f>IF(ISNUMBER($U30),$U30*$J30*Assumptions!$B$4,"NA")</f>
        <v/>
      </c>
      <c r="Y30" s="9">
        <f>IF(ISNUMBER($V30),$V30*$J30*Assumptions!$B$4,"NA")</f>
        <v/>
      </c>
    </row>
    <row r="31">
      <c r="A31" s="5" t="inlineStr">
        <is>
          <t>Austin Engineering</t>
        </is>
      </c>
      <c r="B31" s="11" t="inlineStr">
        <is>
          <t>Dump bodies/truck trays</t>
        </is>
      </c>
      <c r="C31" s="5" t="inlineStr">
        <is>
          <t>Hamersley Iron Pty Limited</t>
        </is>
      </c>
      <c r="D31" s="5" t="inlineStr">
        <is>
          <t>Owner</t>
        </is>
      </c>
      <c r="E31" s="5" t="inlineStr">
        <is>
          <t>Australia</t>
        </is>
      </c>
      <c r="F31" s="5" t="n">
        <v>2025</v>
      </c>
      <c r="G31" s="5" t="n">
        <v>2</v>
      </c>
      <c r="H31" s="7" t="n">
        <v>192512.54</v>
      </c>
      <c r="I31" s="5" t="inlineStr">
        <is>
          <t>AUD</t>
        </is>
      </c>
      <c r="J31" s="8">
        <f>IF($I31="AUD",Assumptions!$B$2,Assumptions!$B$3)</f>
        <v/>
      </c>
      <c r="K31" s="9">
        <f>$G31*$H31*$J31</f>
        <v/>
      </c>
      <c r="L31" s="9">
        <f>$K31*Assumptions!$B$4</f>
        <v/>
      </c>
      <c r="M31" s="9">
        <f>RawTx[[#This Row],[Value USD]]/RawTx[[#This Row],[Quantity]]</f>
        <v/>
      </c>
      <c r="N31" s="9">
        <f>RawTx[[#This Row],[Value IDR]]/RawTx[[#This Row],[Quantity]]</f>
        <v/>
      </c>
      <c r="O31" s="4" t="inlineStr">
        <is>
          <t>TOM PRICE-830E-AC HPT HD (177392B) C/W ACCESSORIESPO REFERENCE : 30161...</t>
        </is>
      </c>
      <c r="P31" s="5" t="inlineStr">
        <is>
          <t>Komatsu</t>
        </is>
      </c>
      <c r="Q31" s="13" t="inlineStr">
        <is>
          <t>830E-AC</t>
        </is>
      </c>
      <c r="R31" s="7" t="n">
        <v>60836</v>
      </c>
      <c r="S31" s="7">
        <f>IFERROR($R31/$G31,"")</f>
        <v/>
      </c>
      <c r="T31" s="7" t="n">
        <v>34672.84</v>
      </c>
      <c r="U31" s="7" t="n">
        <v>3625.05</v>
      </c>
      <c r="V31" s="7" t="n">
        <v>586245.9399999999</v>
      </c>
      <c r="W31" s="9">
        <f>IF(ISNUMBER($T31),$T31*$J31*Assumptions!$B$4,"NA")</f>
        <v/>
      </c>
      <c r="X31" s="9">
        <f>IF(ISNUMBER($U31),$U31*$J31*Assumptions!$B$4,"NA")</f>
        <v/>
      </c>
      <c r="Y31" s="9">
        <f>IF(ISNUMBER($V31),$V31*$J31*Assumptions!$B$4,"NA")</f>
        <v/>
      </c>
    </row>
    <row r="32">
      <c r="A32" s="5" t="inlineStr">
        <is>
          <t>Austin Engineering</t>
        </is>
      </c>
      <c r="B32" s="11" t="inlineStr">
        <is>
          <t>Dump bodies/truck trays</t>
        </is>
      </c>
      <c r="C32" s="5" t="inlineStr">
        <is>
          <t>Hamersley Iron Pty Limited</t>
        </is>
      </c>
      <c r="D32" s="5" t="inlineStr">
        <is>
          <t>Owner</t>
        </is>
      </c>
      <c r="E32" s="5" t="inlineStr">
        <is>
          <t>Australia</t>
        </is>
      </c>
      <c r="F32" s="5" t="n">
        <v>2025</v>
      </c>
      <c r="G32" s="5" t="n">
        <v>2</v>
      </c>
      <c r="H32" s="7" t="n">
        <v>191013.07</v>
      </c>
      <c r="I32" s="5" t="inlineStr">
        <is>
          <t>AUD</t>
        </is>
      </c>
      <c r="J32" s="8">
        <f>IF($I32="AUD",Assumptions!$B$2,Assumptions!$B$3)</f>
        <v/>
      </c>
      <c r="K32" s="9">
        <f>$G32*$H32*$J32</f>
        <v/>
      </c>
      <c r="L32" s="9">
        <f>$K32*Assumptions!$B$4</f>
        <v/>
      </c>
      <c r="M32" s="9">
        <f>RawTx[[#This Row],[Value USD]]/RawTx[[#This Row],[Quantity]]</f>
        <v/>
      </c>
      <c r="N32" s="9">
        <f>RawTx[[#This Row],[Value IDR]]/RawTx[[#This Row],[Quantity]]</f>
        <v/>
      </c>
      <c r="O32" s="4" t="inlineStr">
        <is>
          <t>TOM PRICE-830E-AC HPT HD (177392B) C/W ACCESSORIESPO REFERENCE : 30161...</t>
        </is>
      </c>
      <c r="P32" s="5" t="inlineStr">
        <is>
          <t>Komatsu</t>
        </is>
      </c>
      <c r="Q32" s="13" t="inlineStr">
        <is>
          <t>830E-AC</t>
        </is>
      </c>
      <c r="R32" s="7" t="n">
        <v>60836</v>
      </c>
      <c r="S32" s="7">
        <f>IFERROR($R32/$G32,"")</f>
        <v/>
      </c>
      <c r="T32" s="7" t="n">
        <v>28935.86</v>
      </c>
      <c r="U32" s="7" t="n">
        <v>3025.24</v>
      </c>
      <c r="V32" s="7" t="n">
        <v>586245.9399999999</v>
      </c>
      <c r="W32" s="9">
        <f>IF(ISNUMBER($T32),$T32*$J32*Assumptions!$B$4,"NA")</f>
        <v/>
      </c>
      <c r="X32" s="9">
        <f>IF(ISNUMBER($U32),$U32*$J32*Assumptions!$B$4,"NA")</f>
        <v/>
      </c>
      <c r="Y32" s="9">
        <f>IF(ISNUMBER($V32),$V32*$J32*Assumptions!$B$4,"NA")</f>
        <v/>
      </c>
    </row>
    <row r="33">
      <c r="A33" s="5" t="inlineStr">
        <is>
          <t>Austin Engineering</t>
        </is>
      </c>
      <c r="B33" s="11" t="inlineStr">
        <is>
          <t>Dump bodies/truck trays</t>
        </is>
      </c>
      <c r="C33" s="5" t="inlineStr">
        <is>
          <t>Hamersley Iron Pty Limited</t>
        </is>
      </c>
      <c r="D33" s="5" t="inlineStr">
        <is>
          <t>Owner</t>
        </is>
      </c>
      <c r="E33" s="5" t="inlineStr">
        <is>
          <t>Australia</t>
        </is>
      </c>
      <c r="F33" s="5" t="n">
        <v>2025</v>
      </c>
      <c r="G33" s="5" t="n">
        <v>2</v>
      </c>
      <c r="H33" s="7" t="n">
        <v>186924.63</v>
      </c>
      <c r="I33" s="5" t="inlineStr">
        <is>
          <t>AUD</t>
        </is>
      </c>
      <c r="J33" s="8">
        <f>IF($I33="AUD",Assumptions!$B$2,Assumptions!$B$3)</f>
        <v/>
      </c>
      <c r="K33" s="9">
        <f>$G33*$H33*$J33</f>
        <v/>
      </c>
      <c r="L33" s="9">
        <f>$K33*Assumptions!$B$4</f>
        <v/>
      </c>
      <c r="M33" s="9">
        <f>RawTx[[#This Row],[Value USD]]/RawTx[[#This Row],[Quantity]]</f>
        <v/>
      </c>
      <c r="N33" s="9">
        <f>RawTx[[#This Row],[Value IDR]]/RawTx[[#This Row],[Quantity]]</f>
        <v/>
      </c>
      <c r="O33" s="4" t="inlineStr">
        <is>
          <t>HOPE DOWNS 4-830E-AC HPT STD C/W ACCESSORIESPO REFERENCE : 3016401784</t>
        </is>
      </c>
      <c r="P33" s="5" t="inlineStr">
        <is>
          <t>Komatsu</t>
        </is>
      </c>
      <c r="Q33" s="13" t="inlineStr">
        <is>
          <t>830E-AC</t>
        </is>
      </c>
      <c r="R33" s="7" t="n">
        <v>55508</v>
      </c>
      <c r="S33" s="7">
        <f>IFERROR($R33/$G33,"")</f>
        <v/>
      </c>
      <c r="T33" s="7" t="n">
        <v>28935.86</v>
      </c>
      <c r="U33" s="7" t="n">
        <v>3025.24</v>
      </c>
      <c r="V33" s="7" t="n">
        <v>573697.9399999999</v>
      </c>
      <c r="W33" s="9">
        <f>IF(ISNUMBER($T33),$T33*$J33*Assumptions!$B$4,"NA")</f>
        <v/>
      </c>
      <c r="X33" s="9">
        <f>IF(ISNUMBER($U33),$U33*$J33*Assumptions!$B$4,"NA")</f>
        <v/>
      </c>
      <c r="Y33" s="9">
        <f>IF(ISNUMBER($V33),$V33*$J33*Assumptions!$B$4,"NA")</f>
        <v/>
      </c>
    </row>
    <row r="34">
      <c r="A34" s="5" t="inlineStr">
        <is>
          <t>Austin Engineering</t>
        </is>
      </c>
      <c r="B34" s="11" t="inlineStr">
        <is>
          <t>Dump bodies/truck trays</t>
        </is>
      </c>
      <c r="C34" s="5" t="inlineStr">
        <is>
          <t>Hamersley Iron Pty Limited</t>
        </is>
      </c>
      <c r="D34" s="5" t="inlineStr">
        <is>
          <t>Owner</t>
        </is>
      </c>
      <c r="E34" s="5" t="inlineStr">
        <is>
          <t>Australia</t>
        </is>
      </c>
      <c r="F34" s="5" t="n">
        <v>2025</v>
      </c>
      <c r="G34" s="5" t="n">
        <v>1</v>
      </c>
      <c r="H34" s="7" t="n">
        <v>186924.63</v>
      </c>
      <c r="I34" s="5" t="inlineStr">
        <is>
          <t>AUD</t>
        </is>
      </c>
      <c r="J34" s="8">
        <f>IF($I34="AUD",Assumptions!$B$2,Assumptions!$B$3)</f>
        <v/>
      </c>
      <c r="K34" s="9">
        <f>$G34*$H34*$J34</f>
        <v/>
      </c>
      <c r="L34" s="9">
        <f>$K34*Assumptions!$B$4</f>
        <v/>
      </c>
      <c r="M34" s="9">
        <f>RawTx[[#This Row],[Value USD]]/RawTx[[#This Row],[Quantity]]</f>
        <v/>
      </c>
      <c r="N34" s="9">
        <f>RawTx[[#This Row],[Value IDR]]/RawTx[[#This Row],[Quantity]]</f>
        <v/>
      </c>
      <c r="O34" s="4" t="inlineStr">
        <is>
          <t>BROCKMAN 4-830E-5 HPT STD C/W ACCESSORIESPO REFERENCE: 3016405287</t>
        </is>
      </c>
      <c r="P34" s="5" t="inlineStr">
        <is>
          <t>Komatsu</t>
        </is>
      </c>
      <c r="Q34" s="13" t="inlineStr">
        <is>
          <t>830E-5</t>
        </is>
      </c>
      <c r="R34" s="7" t="n">
        <v>28425</v>
      </c>
      <c r="S34" s="7">
        <f>IFERROR($R34/$G34,"")</f>
        <v/>
      </c>
      <c r="T34" s="7" t="n">
        <v>28935.86</v>
      </c>
      <c r="U34" s="7" t="n">
        <v>3025.24</v>
      </c>
      <c r="V34" s="7" t="n">
        <v>286848.97</v>
      </c>
      <c r="W34" s="9">
        <f>IF(ISNUMBER($T34),$T34*$J34*Assumptions!$B$4,"NA")</f>
        <v/>
      </c>
      <c r="X34" s="9">
        <f>IF(ISNUMBER($U34),$U34*$J34*Assumptions!$B$4,"NA")</f>
        <v/>
      </c>
      <c r="Y34" s="9">
        <f>IF(ISNUMBER($V34),$V34*$J34*Assumptions!$B$4,"NA")</f>
        <v/>
      </c>
    </row>
    <row r="35">
      <c r="A35" s="5" t="inlineStr">
        <is>
          <t>Austin Engineering</t>
        </is>
      </c>
      <c r="B35" s="11" t="inlineStr">
        <is>
          <t>Dump bodies/truck trays</t>
        </is>
      </c>
      <c r="C35" s="5" t="inlineStr">
        <is>
          <t>Hamersley Iron Pty Limited</t>
        </is>
      </c>
      <c r="D35" s="5" t="inlineStr">
        <is>
          <t>Owner</t>
        </is>
      </c>
      <c r="E35" s="5" t="inlineStr">
        <is>
          <t>Australia</t>
        </is>
      </c>
      <c r="F35" s="5" t="n">
        <v>2025</v>
      </c>
      <c r="G35" s="5" t="n">
        <v>3</v>
      </c>
      <c r="H35" s="7" t="n">
        <v>193217.01</v>
      </c>
      <c r="I35" s="5" t="inlineStr">
        <is>
          <t>AUD</t>
        </is>
      </c>
      <c r="J35" s="8">
        <f>IF($I35="AUD",Assumptions!$B$2,Assumptions!$B$3)</f>
        <v/>
      </c>
      <c r="K35" s="9">
        <f>$G35*$H35*$J35</f>
        <v/>
      </c>
      <c r="L35" s="9">
        <f>$K35*Assumptions!$B$4</f>
        <v/>
      </c>
      <c r="M35" s="9">
        <f>RawTx[[#This Row],[Value USD]]/RawTx[[#This Row],[Quantity]]</f>
        <v/>
      </c>
      <c r="N35" s="9">
        <f>RawTx[[#This Row],[Value IDR]]/RawTx[[#This Row],[Quantity]]</f>
        <v/>
      </c>
      <c r="O35" s="4" t="inlineStr">
        <is>
          <t>830E-5 HPT MAX XHD (177086) - WESTERN RANGES C/W ACCESSORIES PO REFERE...</t>
        </is>
      </c>
      <c r="P35" s="5" t="inlineStr">
        <is>
          <t>Komatsu</t>
        </is>
      </c>
      <c r="Q35" s="13" t="inlineStr">
        <is>
          <t>830E-5</t>
        </is>
      </c>
      <c r="R35" s="7" t="n">
        <v>104166</v>
      </c>
      <c r="S35" s="7">
        <f>IFERROR($R35/$G35,"")</f>
        <v/>
      </c>
      <c r="T35" s="7" t="inlineStr">
        <is>
          <t>NA</t>
        </is>
      </c>
      <c r="U35" s="7" t="inlineStr">
        <is>
          <t>NA</t>
        </is>
      </c>
      <c r="V35" s="7" t="inlineStr">
        <is>
          <t>NA</t>
        </is>
      </c>
      <c r="W35" s="9">
        <f>IF(ISNUMBER($T35),$T35*$J35*Assumptions!$B$4,"NA")</f>
        <v/>
      </c>
      <c r="X35" s="9">
        <f>IF(ISNUMBER($U35),$U35*$J35*Assumptions!$B$4,"NA")</f>
        <v/>
      </c>
      <c r="Y35" s="9">
        <f>IF(ISNUMBER($V35),$V35*$J35*Assumptions!$B$4,"NA")</f>
        <v/>
      </c>
    </row>
    <row r="36">
      <c r="A36" s="5" t="inlineStr">
        <is>
          <t>Austin Engineering</t>
        </is>
      </c>
      <c r="B36" s="11" t="inlineStr">
        <is>
          <t>Dump bodies/truck trays</t>
        </is>
      </c>
      <c r="C36" s="5" t="inlineStr">
        <is>
          <t>Hamersley Iron Pty Limited</t>
        </is>
      </c>
      <c r="D36" s="5" t="inlineStr">
        <is>
          <t>Owner</t>
        </is>
      </c>
      <c r="E36" s="5" t="inlineStr">
        <is>
          <t>Australia</t>
        </is>
      </c>
      <c r="F36" s="5" t="n">
        <v>2025</v>
      </c>
      <c r="G36" s="5" t="n">
        <v>1</v>
      </c>
      <c r="H36" s="7" t="n">
        <v>183085.26</v>
      </c>
      <c r="I36" s="5" t="inlineStr">
        <is>
          <t>AUD</t>
        </is>
      </c>
      <c r="J36" s="8">
        <f>IF($I36="AUD",Assumptions!$B$2,Assumptions!$B$3)</f>
        <v/>
      </c>
      <c r="K36" s="9">
        <f>$G36*$H36*$J36</f>
        <v/>
      </c>
      <c r="L36" s="9">
        <f>$K36*Assumptions!$B$4</f>
        <v/>
      </c>
      <c r="M36" s="9">
        <f>RawTx[[#This Row],[Value USD]]/RawTx[[#This Row],[Quantity]]</f>
        <v/>
      </c>
      <c r="N36" s="9">
        <f>RawTx[[#This Row],[Value IDR]]/RawTx[[#This Row],[Quantity]]</f>
        <v/>
      </c>
      <c r="O36" s="4" t="inlineStr">
        <is>
          <t>793F HPT MAX STD, MARANDOO C/W ACCESSORIES PO REFERENCE : 3014850234</t>
        </is>
      </c>
      <c r="P36" s="5" t="inlineStr">
        <is>
          <t>Caterpillar</t>
        </is>
      </c>
      <c r="Q36" s="14" t="inlineStr">
        <is>
          <t>793F</t>
        </is>
      </c>
      <c r="R36" s="7" t="n">
        <v>27890</v>
      </c>
      <c r="S36" s="7">
        <f>IFERROR($R36/$G36,"")</f>
        <v/>
      </c>
      <c r="T36" s="7" t="inlineStr">
        <is>
          <t>NA</t>
        </is>
      </c>
      <c r="U36" s="7" t="inlineStr">
        <is>
          <t>NA</t>
        </is>
      </c>
      <c r="V36" s="7" t="inlineStr">
        <is>
          <t>NA</t>
        </is>
      </c>
      <c r="W36" s="9">
        <f>IF(ISNUMBER($T36),$T36*$J36*Assumptions!$B$4,"NA")</f>
        <v/>
      </c>
      <c r="X36" s="9">
        <f>IF(ISNUMBER($U36),$U36*$J36*Assumptions!$B$4,"NA")</f>
        <v/>
      </c>
      <c r="Y36" s="9">
        <f>IF(ISNUMBER($V36),$V36*$J36*Assumptions!$B$4,"NA")</f>
        <v/>
      </c>
    </row>
    <row r="37">
      <c r="A37" s="5" t="inlineStr">
        <is>
          <t>Austin Engineering</t>
        </is>
      </c>
      <c r="B37" s="11" t="inlineStr">
        <is>
          <t>Dump bodies/truck trays</t>
        </is>
      </c>
      <c r="C37" s="5" t="inlineStr">
        <is>
          <t>Hamersley Iron Pty Limited</t>
        </is>
      </c>
      <c r="D37" s="5" t="inlineStr">
        <is>
          <t>Owner</t>
        </is>
      </c>
      <c r="E37" s="5" t="inlineStr">
        <is>
          <t>Australia</t>
        </is>
      </c>
      <c r="F37" s="5" t="n">
        <v>2025</v>
      </c>
      <c r="G37" s="5" t="n">
        <v>3</v>
      </c>
      <c r="H37" s="7" t="n">
        <v>195779.35</v>
      </c>
      <c r="I37" s="5" t="inlineStr">
        <is>
          <t>AUD</t>
        </is>
      </c>
      <c r="J37" s="8">
        <f>IF($I37="AUD",Assumptions!$B$2,Assumptions!$B$3)</f>
        <v/>
      </c>
      <c r="K37" s="9">
        <f>$G37*$H37*$J37</f>
        <v/>
      </c>
      <c r="L37" s="9">
        <f>$K37*Assumptions!$B$4</f>
        <v/>
      </c>
      <c r="M37" s="9">
        <f>RawTx[[#This Row],[Value USD]]/RawTx[[#This Row],[Quantity]]</f>
        <v/>
      </c>
      <c r="N37" s="9">
        <f>RawTx[[#This Row],[Value IDR]]/RawTx[[#This Row],[Quantity]]</f>
        <v/>
      </c>
      <c r="O37" s="4" t="inlineStr">
        <is>
          <t>830E-5 HPT MAX XHD (177086) - WESTERN RANGES C/W ACCESSORIES PO REFERE...</t>
        </is>
      </c>
      <c r="P37" s="5" t="inlineStr">
        <is>
          <t>Komatsu</t>
        </is>
      </c>
      <c r="Q37" s="13" t="inlineStr">
        <is>
          <t>830E-5</t>
        </is>
      </c>
      <c r="R37" s="7" t="n">
        <v>104166</v>
      </c>
      <c r="S37" s="7">
        <f>IFERROR($R37/$G37,"")</f>
        <v/>
      </c>
      <c r="T37" s="7" t="inlineStr">
        <is>
          <t>NA</t>
        </is>
      </c>
      <c r="U37" s="7" t="inlineStr">
        <is>
          <t>NA</t>
        </is>
      </c>
      <c r="V37" s="7" t="inlineStr">
        <is>
          <t>NA</t>
        </is>
      </c>
      <c r="W37" s="9">
        <f>IF(ISNUMBER($T37),$T37*$J37*Assumptions!$B$4,"NA")</f>
        <v/>
      </c>
      <c r="X37" s="9">
        <f>IF(ISNUMBER($U37),$U37*$J37*Assumptions!$B$4,"NA")</f>
        <v/>
      </c>
      <c r="Y37" s="9">
        <f>IF(ISNUMBER($V37),$V37*$J37*Assumptions!$B$4,"NA")</f>
        <v/>
      </c>
    </row>
    <row r="38">
      <c r="A38" s="5" t="inlineStr">
        <is>
          <t>Austin Engineering</t>
        </is>
      </c>
      <c r="B38" s="11" t="inlineStr">
        <is>
          <t>Dump bodies/truck trays</t>
        </is>
      </c>
      <c r="C38" s="5" t="inlineStr">
        <is>
          <t>Hamersley Iron Pty Limited</t>
        </is>
      </c>
      <c r="D38" s="5" t="inlineStr">
        <is>
          <t>Owner</t>
        </is>
      </c>
      <c r="E38" s="5" t="inlineStr">
        <is>
          <t>Australia</t>
        </is>
      </c>
      <c r="F38" s="5" t="n">
        <v>2025</v>
      </c>
      <c r="G38" s="5" t="n">
        <v>7</v>
      </c>
      <c r="H38" s="7" t="n">
        <v>183187.1</v>
      </c>
      <c r="I38" s="5" t="inlineStr">
        <is>
          <t>AUD</t>
        </is>
      </c>
      <c r="J38" s="8">
        <f>IF($I38="AUD",Assumptions!$B$2,Assumptions!$B$3)</f>
        <v/>
      </c>
      <c r="K38" s="9">
        <f>$G38*$H38*$J38</f>
        <v/>
      </c>
      <c r="L38" s="9">
        <f>$K38*Assumptions!$B$4</f>
        <v/>
      </c>
      <c r="M38" s="9">
        <f>RawTx[[#This Row],[Value USD]]/RawTx[[#This Row],[Quantity]]</f>
        <v/>
      </c>
      <c r="N38" s="9">
        <f>RawTx[[#This Row],[Value IDR]]/RawTx[[#This Row],[Quantity]]</f>
        <v/>
      </c>
      <c r="O38" s="4" t="inlineStr">
        <is>
          <t>930E HPT MAX STD, WEST ANGELAS CW/ ACCESSORIES PO REFERENCE : 30149561...</t>
        </is>
      </c>
      <c r="P38" s="5" t="inlineStr">
        <is>
          <t>Komatsu</t>
        </is>
      </c>
      <c r="Q38" s="13" t="inlineStr">
        <is>
          <t>930E</t>
        </is>
      </c>
      <c r="R38" s="7" t="n">
        <v>224847</v>
      </c>
      <c r="S38" s="7">
        <f>IFERROR($R38/$G38,"")</f>
        <v/>
      </c>
      <c r="T38" s="7" t="inlineStr">
        <is>
          <t>NA</t>
        </is>
      </c>
      <c r="U38" s="7" t="inlineStr">
        <is>
          <t>NA</t>
        </is>
      </c>
      <c r="V38" s="7" t="inlineStr">
        <is>
          <t>NA</t>
        </is>
      </c>
      <c r="W38" s="9">
        <f>IF(ISNUMBER($T38),$T38*$J38*Assumptions!$B$4,"NA")</f>
        <v/>
      </c>
      <c r="X38" s="9">
        <f>IF(ISNUMBER($U38),$U38*$J38*Assumptions!$B$4,"NA")</f>
        <v/>
      </c>
      <c r="Y38" s="9">
        <f>IF(ISNUMBER($V38),$V38*$J38*Assumptions!$B$4,"NA")</f>
        <v/>
      </c>
    </row>
    <row r="39">
      <c r="A39" s="5" t="inlineStr">
        <is>
          <t>Austin Engineering</t>
        </is>
      </c>
      <c r="B39" s="11" t="inlineStr">
        <is>
          <t>Dump bodies/truck trays</t>
        </is>
      </c>
      <c r="C39" s="5" t="inlineStr">
        <is>
          <t>Hamersley Iron Pty Limited</t>
        </is>
      </c>
      <c r="D39" s="5" t="inlineStr">
        <is>
          <t>Owner</t>
        </is>
      </c>
      <c r="E39" s="5" t="inlineStr">
        <is>
          <t>Australia</t>
        </is>
      </c>
      <c r="F39" s="5" t="n">
        <v>2025</v>
      </c>
      <c r="G39" s="5" t="n">
        <v>1</v>
      </c>
      <c r="H39" s="7" t="n">
        <v>183187.1</v>
      </c>
      <c r="I39" s="5" t="inlineStr">
        <is>
          <t>AUD</t>
        </is>
      </c>
      <c r="J39" s="8">
        <f>IF($I39="AUD",Assumptions!$B$2,Assumptions!$B$3)</f>
        <v/>
      </c>
      <c r="K39" s="9">
        <f>$G39*$H39*$J39</f>
        <v/>
      </c>
      <c r="L39" s="9">
        <f>$K39*Assumptions!$B$4</f>
        <v/>
      </c>
      <c r="M39" s="9">
        <f>RawTx[[#This Row],[Value USD]]/RawTx[[#This Row],[Quantity]]</f>
        <v/>
      </c>
      <c r="N39" s="9">
        <f>RawTx[[#This Row],[Value IDR]]/RawTx[[#This Row],[Quantity]]</f>
        <v/>
      </c>
      <c r="O39" s="4" t="inlineStr">
        <is>
          <t>930E HPT MAX STD, WEST ANGELAS CW/ ACCESSORIES PO REFERENCE : 30149561...</t>
        </is>
      </c>
      <c r="P39" s="5" t="inlineStr">
        <is>
          <t>Komatsu</t>
        </is>
      </c>
      <c r="Q39" s="13" t="inlineStr">
        <is>
          <t>930E</t>
        </is>
      </c>
      <c r="R39" s="7" t="n">
        <v>34489</v>
      </c>
      <c r="S39" s="7">
        <f>IFERROR($R39/$G39,"")</f>
        <v/>
      </c>
      <c r="T39" s="7" t="inlineStr">
        <is>
          <t>NA</t>
        </is>
      </c>
      <c r="U39" s="7" t="inlineStr">
        <is>
          <t>NA</t>
        </is>
      </c>
      <c r="V39" s="7" t="inlineStr">
        <is>
          <t>NA</t>
        </is>
      </c>
      <c r="W39" s="9">
        <f>IF(ISNUMBER($T39),$T39*$J39*Assumptions!$B$4,"NA")</f>
        <v/>
      </c>
      <c r="X39" s="9">
        <f>IF(ISNUMBER($U39),$U39*$J39*Assumptions!$B$4,"NA")</f>
        <v/>
      </c>
      <c r="Y39" s="9">
        <f>IF(ISNUMBER($V39),$V39*$J39*Assumptions!$B$4,"NA")</f>
        <v/>
      </c>
    </row>
    <row r="40">
      <c r="A40" s="5" t="inlineStr">
        <is>
          <t>Austin Engineering</t>
        </is>
      </c>
      <c r="B40" s="11" t="inlineStr">
        <is>
          <t>Dump bodies/truck trays</t>
        </is>
      </c>
      <c r="C40" s="5" t="inlineStr">
        <is>
          <t>Hamersley Iron Pty Limited</t>
        </is>
      </c>
      <c r="D40" s="5" t="inlineStr">
        <is>
          <t>Owner</t>
        </is>
      </c>
      <c r="E40" s="5" t="inlineStr">
        <is>
          <t>Australia</t>
        </is>
      </c>
      <c r="F40" s="5" t="n">
        <v>2025</v>
      </c>
      <c r="G40" s="5" t="n">
        <v>4</v>
      </c>
      <c r="H40" s="7" t="n">
        <v>191254.86</v>
      </c>
      <c r="I40" s="5" t="inlineStr">
        <is>
          <t>AUD</t>
        </is>
      </c>
      <c r="J40" s="8">
        <f>IF($I40="AUD",Assumptions!$B$2,Assumptions!$B$3)</f>
        <v/>
      </c>
      <c r="K40" s="9">
        <f>$G40*$H40*$J40</f>
        <v/>
      </c>
      <c r="L40" s="9">
        <f>$K40*Assumptions!$B$4</f>
        <v/>
      </c>
      <c r="M40" s="9">
        <f>RawTx[[#This Row],[Value USD]]/RawTx[[#This Row],[Quantity]]</f>
        <v/>
      </c>
      <c r="N40" s="9">
        <f>RawTx[[#This Row],[Value IDR]]/RawTx[[#This Row],[Quantity]]</f>
        <v/>
      </c>
      <c r="O40" s="4" t="inlineStr">
        <is>
          <t>YANDICOOGINA-930E-4 HPT STD (177390B) C/W ACCESSORIES PO REFERENCE : 30</t>
        </is>
      </c>
      <c r="P40" s="5" t="inlineStr">
        <is>
          <t>Komatsu</t>
        </is>
      </c>
      <c r="Q40" s="13" t="inlineStr">
        <is>
          <t>930E-4</t>
        </is>
      </c>
      <c r="R40" s="7" t="n">
        <v>132212</v>
      </c>
      <c r="S40" s="7">
        <f>IFERROR($R40/$G40,"")</f>
        <v/>
      </c>
      <c r="T40" s="7" t="inlineStr">
        <is>
          <t>NA</t>
        </is>
      </c>
      <c r="U40" s="7" t="inlineStr">
        <is>
          <t>NA</t>
        </is>
      </c>
      <c r="V40" s="7" t="inlineStr">
        <is>
          <t>NA</t>
        </is>
      </c>
      <c r="W40" s="9">
        <f>IF(ISNUMBER($T40),$T40*$J40*Assumptions!$B$4,"NA")</f>
        <v/>
      </c>
      <c r="X40" s="9">
        <f>IF(ISNUMBER($U40),$U40*$J40*Assumptions!$B$4,"NA")</f>
        <v/>
      </c>
      <c r="Y40" s="9">
        <f>IF(ISNUMBER($V40),$V40*$J40*Assumptions!$B$4,"NA")</f>
        <v/>
      </c>
    </row>
    <row r="41">
      <c r="A41" s="5" t="inlineStr">
        <is>
          <t>Austin Engineering</t>
        </is>
      </c>
      <c r="B41" s="11" t="inlineStr">
        <is>
          <t>Dump bodies/truck trays</t>
        </is>
      </c>
      <c r="C41" s="5" t="inlineStr">
        <is>
          <t>Hamersley Iron Pty Limited</t>
        </is>
      </c>
      <c r="D41" s="5" t="inlineStr">
        <is>
          <t>Owner</t>
        </is>
      </c>
      <c r="E41" s="5" t="inlineStr">
        <is>
          <t>Australia</t>
        </is>
      </c>
      <c r="F41" s="5" t="n">
        <v>2025</v>
      </c>
      <c r="G41" s="5" t="n">
        <v>1</v>
      </c>
      <c r="H41" s="7" t="n">
        <v>189651.4</v>
      </c>
      <c r="I41" s="5" t="inlineStr">
        <is>
          <t>AUD</t>
        </is>
      </c>
      <c r="J41" s="8">
        <f>IF($I41="AUD",Assumptions!$B$2,Assumptions!$B$3)</f>
        <v/>
      </c>
      <c r="K41" s="9">
        <f>$G41*$H41*$J41</f>
        <v/>
      </c>
      <c r="L41" s="9">
        <f>$K41*Assumptions!$B$4</f>
        <v/>
      </c>
      <c r="M41" s="9">
        <f>RawTx[[#This Row],[Value USD]]/RawTx[[#This Row],[Quantity]]</f>
        <v/>
      </c>
      <c r="N41" s="9">
        <f>RawTx[[#This Row],[Value IDR]]/RawTx[[#This Row],[Quantity]]</f>
        <v/>
      </c>
      <c r="O41" s="4" t="inlineStr">
        <is>
          <t>YANDICOOGINA-830E-AC HPT STD (177391B) C/W ACCESSORIES PO REFERENCE : 3</t>
        </is>
      </c>
      <c r="P41" s="5" t="inlineStr">
        <is>
          <t>Komatsu</t>
        </is>
      </c>
      <c r="Q41" s="13" t="inlineStr">
        <is>
          <t>830E-AC</t>
        </is>
      </c>
      <c r="R41" s="7" t="n">
        <v>27754</v>
      </c>
      <c r="S41" s="7">
        <f>IFERROR($R41/$G41,"")</f>
        <v/>
      </c>
      <c r="T41" s="7" t="inlineStr">
        <is>
          <t>NA</t>
        </is>
      </c>
      <c r="U41" s="7" t="inlineStr">
        <is>
          <t>NA</t>
        </is>
      </c>
      <c r="V41" s="7" t="inlineStr">
        <is>
          <t>NA</t>
        </is>
      </c>
      <c r="W41" s="9">
        <f>IF(ISNUMBER($T41),$T41*$J41*Assumptions!$B$4,"NA")</f>
        <v/>
      </c>
      <c r="X41" s="9">
        <f>IF(ISNUMBER($U41),$U41*$J41*Assumptions!$B$4,"NA")</f>
        <v/>
      </c>
      <c r="Y41" s="9">
        <f>IF(ISNUMBER($V41),$V41*$J41*Assumptions!$B$4,"NA")</f>
        <v/>
      </c>
    </row>
    <row r="42">
      <c r="A42" s="5" t="inlineStr">
        <is>
          <t>Austin Engineering</t>
        </is>
      </c>
      <c r="B42" s="11" t="inlineStr">
        <is>
          <t>Dump bodies/truck trays</t>
        </is>
      </c>
      <c r="C42" s="5" t="inlineStr">
        <is>
          <t>Hamersley Iron Pty Limited</t>
        </is>
      </c>
      <c r="D42" s="5" t="inlineStr">
        <is>
          <t>Owner</t>
        </is>
      </c>
      <c r="E42" s="5" t="inlineStr">
        <is>
          <t>Australia</t>
        </is>
      </c>
      <c r="F42" s="5" t="n">
        <v>2025</v>
      </c>
      <c r="G42" s="5" t="n">
        <v>4</v>
      </c>
      <c r="H42" s="7" t="n">
        <v>189050.53</v>
      </c>
      <c r="I42" s="5" t="inlineStr">
        <is>
          <t>AUD</t>
        </is>
      </c>
      <c r="J42" s="8">
        <f>IF($I42="AUD",Assumptions!$B$2,Assumptions!$B$3)</f>
        <v/>
      </c>
      <c r="K42" s="9">
        <f>$G42*$H42*$J42</f>
        <v/>
      </c>
      <c r="L42" s="9">
        <f>$K42*Assumptions!$B$4</f>
        <v/>
      </c>
      <c r="M42" s="9">
        <f>RawTx[[#This Row],[Value USD]]/RawTx[[#This Row],[Quantity]]</f>
        <v/>
      </c>
      <c r="N42" s="9">
        <f>RawTx[[#This Row],[Value IDR]]/RawTx[[#This Row],[Quantity]]</f>
        <v/>
      </c>
      <c r="O42" s="4" t="inlineStr">
        <is>
          <t>HOPE DOWN 1-830E-5 HPT STD C/W ACCESSORIES PO REFERENCE : 3016364631,3O</t>
        </is>
      </c>
      <c r="P42" s="5" t="inlineStr">
        <is>
          <t>Komatsu</t>
        </is>
      </c>
      <c r="Q42" s="13" t="inlineStr">
        <is>
          <t>830E-5</t>
        </is>
      </c>
      <c r="R42" s="7" t="n">
        <v>113700</v>
      </c>
      <c r="S42" s="7">
        <f>IFERROR($R42/$G42,"")</f>
        <v/>
      </c>
      <c r="T42" s="7" t="n">
        <v>29139.24</v>
      </c>
      <c r="U42" s="7" t="n">
        <v>3046.51</v>
      </c>
      <c r="V42" s="7" t="n">
        <v>1163838.96</v>
      </c>
      <c r="W42" s="9">
        <f>IF(ISNUMBER($T42),$T42*$J42*Assumptions!$B$4,"NA")</f>
        <v/>
      </c>
      <c r="X42" s="9">
        <f>IF(ISNUMBER($U42),$U42*$J42*Assumptions!$B$4,"NA")</f>
        <v/>
      </c>
      <c r="Y42" s="9">
        <f>IF(ISNUMBER($V42),$V42*$J42*Assumptions!$B$4,"NA")</f>
        <v/>
      </c>
    </row>
    <row r="43">
      <c r="A43" s="5" t="inlineStr">
        <is>
          <t>Austin Engineering</t>
        </is>
      </c>
      <c r="B43" s="11" t="inlineStr">
        <is>
          <t>Dump bodies/truck trays</t>
        </is>
      </c>
      <c r="C43" s="5" t="inlineStr">
        <is>
          <t>Hamersley Iron Pty Limited</t>
        </is>
      </c>
      <c r="D43" s="5" t="inlineStr">
        <is>
          <t>Owner</t>
        </is>
      </c>
      <c r="E43" s="5" t="inlineStr">
        <is>
          <t>Australia</t>
        </is>
      </c>
      <c r="F43" s="5" t="n">
        <v>2025</v>
      </c>
      <c r="G43" s="5" t="n">
        <v>1</v>
      </c>
      <c r="H43" s="7" t="n">
        <v>190456.09</v>
      </c>
      <c r="I43" s="5" t="inlineStr">
        <is>
          <t>AUD</t>
        </is>
      </c>
      <c r="J43" s="8">
        <f>IF($I43="AUD",Assumptions!$B$2,Assumptions!$B$3)</f>
        <v/>
      </c>
      <c r="K43" s="9">
        <f>$G43*$H43*$J43</f>
        <v/>
      </c>
      <c r="L43" s="9">
        <f>$K43*Assumptions!$B$4</f>
        <v/>
      </c>
      <c r="M43" s="9">
        <f>RawTx[[#This Row],[Value USD]]/RawTx[[#This Row],[Quantity]]</f>
        <v/>
      </c>
      <c r="N43" s="9">
        <f>RawTx[[#This Row],[Value IDR]]/RawTx[[#This Row],[Quantity]]</f>
        <v/>
      </c>
      <c r="O43" s="4" t="inlineStr">
        <is>
          <t>TOM PRICE-830E-AC HPT (177392B) C/W ACCESSORIES PO REFERENCE : 301610986</t>
        </is>
      </c>
      <c r="P43" s="5" t="inlineStr">
        <is>
          <t>Komatsu</t>
        </is>
      </c>
      <c r="Q43" s="13" t="inlineStr">
        <is>
          <t>830E-AC</t>
        </is>
      </c>
      <c r="R43" s="7" t="n">
        <v>30418</v>
      </c>
      <c r="S43" s="7">
        <f>IFERROR($R43/$G43,"")</f>
        <v/>
      </c>
      <c r="T43" s="7" t="n">
        <v>29139.24</v>
      </c>
      <c r="U43" s="7" t="n">
        <v>3046.51</v>
      </c>
      <c r="V43" s="7" t="n">
        <v>293122.97</v>
      </c>
      <c r="W43" s="9">
        <f>IF(ISNUMBER($T43),$T43*$J43*Assumptions!$B$4,"NA")</f>
        <v/>
      </c>
      <c r="X43" s="9">
        <f>IF(ISNUMBER($U43),$U43*$J43*Assumptions!$B$4,"NA")</f>
        <v/>
      </c>
      <c r="Y43" s="9">
        <f>IF(ISNUMBER($V43),$V43*$J43*Assumptions!$B$4,"NA")</f>
        <v/>
      </c>
    </row>
    <row r="44">
      <c r="A44" s="5" t="inlineStr">
        <is>
          <t>Austin Engineering</t>
        </is>
      </c>
      <c r="B44" s="11" t="inlineStr">
        <is>
          <t>Dump bodies/truck trays</t>
        </is>
      </c>
      <c r="C44" s="5" t="inlineStr">
        <is>
          <t>Hamersley Iron Pty Limited</t>
        </is>
      </c>
      <c r="D44" s="5" t="inlineStr">
        <is>
          <t>Owner</t>
        </is>
      </c>
      <c r="E44" s="5" t="inlineStr">
        <is>
          <t>Australia</t>
        </is>
      </c>
      <c r="F44" s="5" t="n">
        <v>2025</v>
      </c>
      <c r="G44" s="5" t="n">
        <v>6</v>
      </c>
      <c r="H44" s="7" t="n">
        <v>185671.63</v>
      </c>
      <c r="I44" s="5" t="inlineStr">
        <is>
          <t>AUD</t>
        </is>
      </c>
      <c r="J44" s="8">
        <f>IF($I44="AUD",Assumptions!$B$2,Assumptions!$B$3)</f>
        <v/>
      </c>
      <c r="K44" s="9">
        <f>$G44*$H44*$J44</f>
        <v/>
      </c>
      <c r="L44" s="9">
        <f>$K44*Assumptions!$B$4</f>
        <v/>
      </c>
      <c r="M44" s="9">
        <f>RawTx[[#This Row],[Value USD]]/RawTx[[#This Row],[Quantity]]</f>
        <v/>
      </c>
      <c r="N44" s="9">
        <f>RawTx[[#This Row],[Value IDR]]/RawTx[[#This Row],[Quantity]]</f>
        <v/>
      </c>
      <c r="O44" s="4" t="inlineStr">
        <is>
          <t>BROCKMAN 4-830E-5 HPT STD C/W ACCESSORIES, PO REFERENCE : 3016405295, 3</t>
        </is>
      </c>
      <c r="P44" s="5" t="inlineStr">
        <is>
          <t>Komatsu</t>
        </is>
      </c>
      <c r="Q44" s="13" t="inlineStr">
        <is>
          <t>830E-5</t>
        </is>
      </c>
      <c r="R44" s="7" t="n">
        <v>170550</v>
      </c>
      <c r="S44" s="7">
        <f>IFERROR($R44/$G44,"")</f>
        <v/>
      </c>
      <c r="T44" s="7" t="n">
        <v>34421.88</v>
      </c>
      <c r="U44" s="7" t="n">
        <v>3598.81</v>
      </c>
      <c r="V44" s="7" t="n">
        <v>1721093.82</v>
      </c>
      <c r="W44" s="9">
        <f>IF(ISNUMBER($T44),$T44*$J44*Assumptions!$B$4,"NA")</f>
        <v/>
      </c>
      <c r="X44" s="9">
        <f>IF(ISNUMBER($U44),$U44*$J44*Assumptions!$B$4,"NA")</f>
        <v/>
      </c>
      <c r="Y44" s="9">
        <f>IF(ISNUMBER($V44),$V44*$J44*Assumptions!$B$4,"NA")</f>
        <v/>
      </c>
    </row>
    <row r="45">
      <c r="A45" s="5" t="inlineStr">
        <is>
          <t>Austin Engineering</t>
        </is>
      </c>
      <c r="B45" s="11" t="inlineStr">
        <is>
          <t>Dump bodies/truck trays</t>
        </is>
      </c>
      <c r="C45" s="5" t="inlineStr">
        <is>
          <t>Hamersley Iron Pty Limited</t>
        </is>
      </c>
      <c r="D45" s="5" t="inlineStr">
        <is>
          <t>Owner</t>
        </is>
      </c>
      <c r="E45" s="5" t="inlineStr">
        <is>
          <t>Australia</t>
        </is>
      </c>
      <c r="F45" s="5" t="n">
        <v>2025</v>
      </c>
      <c r="G45" s="5" t="n">
        <v>4</v>
      </c>
      <c r="H45" s="7" t="n">
        <v>188392.01</v>
      </c>
      <c r="I45" s="5" t="inlineStr">
        <is>
          <t>AUD</t>
        </is>
      </c>
      <c r="J45" s="8">
        <f>IF($I45="AUD",Assumptions!$B$2,Assumptions!$B$3)</f>
        <v/>
      </c>
      <c r="K45" s="9">
        <f>$G45*$H45*$J45</f>
        <v/>
      </c>
      <c r="L45" s="9">
        <f>$K45*Assumptions!$B$4</f>
        <v/>
      </c>
      <c r="M45" s="9">
        <f>RawTx[[#This Row],[Value USD]]/RawTx[[#This Row],[Quantity]]</f>
        <v/>
      </c>
      <c r="N45" s="9">
        <f>RawTx[[#This Row],[Value IDR]]/RawTx[[#This Row],[Quantity]]</f>
        <v/>
      </c>
      <c r="O45" s="4" t="inlineStr">
        <is>
          <t>HOPE DOWNS 4-830E-AC HPT STD C/W ACCESSORIESPO REFERENCE : 3016401813</t>
        </is>
      </c>
      <c r="P45" s="5" t="inlineStr">
        <is>
          <t>Komatsu</t>
        </is>
      </c>
      <c r="Q45" s="13" t="inlineStr">
        <is>
          <t>830E-AC</t>
        </is>
      </c>
      <c r="R45" s="7" t="n">
        <v>111016</v>
      </c>
      <c r="S45" s="7">
        <f>IFERROR($R45/$G45,"")</f>
        <v/>
      </c>
      <c r="T45" s="7" t="n">
        <v>34672.84</v>
      </c>
      <c r="U45" s="7" t="n">
        <v>3625.05</v>
      </c>
      <c r="V45" s="7" t="n">
        <v>1147395.88</v>
      </c>
      <c r="W45" s="9">
        <f>IF(ISNUMBER($T45),$T45*$J45*Assumptions!$B$4,"NA")</f>
        <v/>
      </c>
      <c r="X45" s="9">
        <f>IF(ISNUMBER($U45),$U45*$J45*Assumptions!$B$4,"NA")</f>
        <v/>
      </c>
      <c r="Y45" s="9">
        <f>IF(ISNUMBER($V45),$V45*$J45*Assumptions!$B$4,"NA")</f>
        <v/>
      </c>
    </row>
    <row r="46">
      <c r="A46" s="5" t="inlineStr">
        <is>
          <t>Austin Engineering</t>
        </is>
      </c>
      <c r="B46" s="11" t="inlineStr">
        <is>
          <t>Dump bodies/truck trays</t>
        </is>
      </c>
      <c r="C46" s="5" t="inlineStr">
        <is>
          <t>Austin Engineering Limited</t>
        </is>
      </c>
      <c r="D46" s="11" t="inlineStr">
        <is>
          <t>Parent/Affiliate</t>
        </is>
      </c>
      <c r="E46" s="5" t="inlineStr">
        <is>
          <t>Australia</t>
        </is>
      </c>
      <c r="F46" s="5" t="n">
        <v>2025</v>
      </c>
      <c r="G46" s="5" t="n">
        <v>7</v>
      </c>
      <c r="H46" s="7" t="n">
        <v>187725.46</v>
      </c>
      <c r="I46" s="5" t="inlineStr">
        <is>
          <t>AUD</t>
        </is>
      </c>
      <c r="J46" s="8">
        <f>IF($I46="AUD",Assumptions!$B$2,Assumptions!$B$3)</f>
        <v/>
      </c>
      <c r="K46" s="9">
        <f>$G46*$H46*$J46</f>
        <v/>
      </c>
      <c r="L46" s="9">
        <f>$K46*Assumptions!$B$4</f>
        <v/>
      </c>
      <c r="M46" s="9">
        <f>RawTx[[#This Row],[Value USD]]/RawTx[[#This Row],[Quantity]]</f>
        <v/>
      </c>
      <c r="N46" s="9">
        <f>RawTx[[#This Row],[Value IDR]]/RawTx[[#This Row],[Quantity]]</f>
        <v/>
      </c>
      <c r="O46" s="4" t="inlineStr">
        <is>
          <t>BROCKMAN 4-830E-5 HPT STD C/W ACCESSORIESPO REFERENCE : 3016074943,30</t>
        </is>
      </c>
      <c r="P46" s="5" t="inlineStr">
        <is>
          <t>Komatsu</t>
        </is>
      </c>
      <c r="Q46" s="13" t="inlineStr">
        <is>
          <t>830E-5</t>
        </is>
      </c>
      <c r="R46" s="7" t="n">
        <v>198975</v>
      </c>
      <c r="S46" s="7">
        <f>IFERROR($R46/$G46,"")</f>
        <v/>
      </c>
      <c r="T46" s="7" t="n">
        <v>40158.86</v>
      </c>
      <c r="U46" s="7" t="n">
        <v>4198.61</v>
      </c>
      <c r="V46" s="7" t="n">
        <v>2007942.79</v>
      </c>
      <c r="W46" s="9">
        <f>IF(ISNUMBER($T46),$T46*$J46*Assumptions!$B$4,"NA")</f>
        <v/>
      </c>
      <c r="X46" s="9">
        <f>IF(ISNUMBER($U46),$U46*$J46*Assumptions!$B$4,"NA")</f>
        <v/>
      </c>
      <c r="Y46" s="9">
        <f>IF(ISNUMBER($V46),$V46*$J46*Assumptions!$B$4,"NA")</f>
        <v/>
      </c>
    </row>
    <row r="47">
      <c r="A47" s="5" t="inlineStr">
        <is>
          <t>Austin Engineering</t>
        </is>
      </c>
      <c r="B47" s="11" t="inlineStr">
        <is>
          <t>Dump bodies/truck trays</t>
        </is>
      </c>
      <c r="C47" s="5" t="inlineStr">
        <is>
          <t>Austin Engineering Limited</t>
        </is>
      </c>
      <c r="D47" s="11" t="inlineStr">
        <is>
          <t>Parent/Affiliate</t>
        </is>
      </c>
      <c r="E47" s="5" t="inlineStr">
        <is>
          <t>Australia</t>
        </is>
      </c>
      <c r="F47" s="5" t="n">
        <v>2025</v>
      </c>
      <c r="G47" s="5" t="n">
        <v>7</v>
      </c>
      <c r="H47" s="7" t="n">
        <v>206783.72</v>
      </c>
      <c r="I47" s="5" t="inlineStr">
        <is>
          <t>AUD</t>
        </is>
      </c>
      <c r="J47" s="8">
        <f>IF($I47="AUD",Assumptions!$B$2,Assumptions!$B$3)</f>
        <v/>
      </c>
      <c r="K47" s="9">
        <f>$G47*$H47*$J47</f>
        <v/>
      </c>
      <c r="L47" s="9">
        <f>$K47*Assumptions!$B$4</f>
        <v/>
      </c>
      <c r="M47" s="9">
        <f>RawTx[[#This Row],[Value USD]]/RawTx[[#This Row],[Quantity]]</f>
        <v/>
      </c>
      <c r="N47" s="9">
        <f>RawTx[[#This Row],[Value IDR]]/RawTx[[#This Row],[Quantity]]</f>
        <v/>
      </c>
      <c r="O47" s="4" t="inlineStr">
        <is>
          <t>YANDICOOGINA-930E-5 HPT STD (177645A) C/W ACCESSORIES PO REFERENCE : 30</t>
        </is>
      </c>
      <c r="P47" s="5" t="inlineStr">
        <is>
          <t>Komatsu</t>
        </is>
      </c>
      <c r="Q47" s="13" t="inlineStr">
        <is>
          <t>930E-5</t>
        </is>
      </c>
      <c r="R47" s="7" t="n">
        <v>231371</v>
      </c>
      <c r="S47" s="7">
        <f>IFERROR($R47/$G47,"")</f>
        <v/>
      </c>
      <c r="T47" s="7" t="n">
        <v>50925.74</v>
      </c>
      <c r="U47" s="7" t="n">
        <v>5324.29</v>
      </c>
      <c r="V47" s="7" t="n">
        <v>2224403.79</v>
      </c>
      <c r="W47" s="9">
        <f>IF(ISNUMBER($T47),$T47*$J47*Assumptions!$B$4,"NA")</f>
        <v/>
      </c>
      <c r="X47" s="9">
        <f>IF(ISNUMBER($U47),$U47*$J47*Assumptions!$B$4,"NA")</f>
        <v/>
      </c>
      <c r="Y47" s="9">
        <f>IF(ISNUMBER($V47),$V47*$J47*Assumptions!$B$4,"NA")</f>
        <v/>
      </c>
    </row>
    <row r="48">
      <c r="A48" s="5" t="inlineStr">
        <is>
          <t>Austin Engineering</t>
        </is>
      </c>
      <c r="B48" s="11" t="inlineStr">
        <is>
          <t>Dump bodies/truck trays</t>
        </is>
      </c>
      <c r="C48" s="5" t="inlineStr">
        <is>
          <t>Austin Engineering Limited</t>
        </is>
      </c>
      <c r="D48" s="11" t="inlineStr">
        <is>
          <t>Parent/Affiliate</t>
        </is>
      </c>
      <c r="E48" s="5" t="inlineStr">
        <is>
          <t>Australia</t>
        </is>
      </c>
      <c r="F48" s="5" t="n">
        <v>2025</v>
      </c>
      <c r="G48" s="5" t="n">
        <v>1</v>
      </c>
      <c r="H48" s="7" t="n">
        <v>209459</v>
      </c>
      <c r="I48" s="5" t="inlineStr">
        <is>
          <t>AUD</t>
        </is>
      </c>
      <c r="J48" s="8">
        <f>IF($I48="AUD",Assumptions!$B$2,Assumptions!$B$3)</f>
        <v/>
      </c>
      <c r="K48" s="9">
        <f>$G48*$H48*$J48</f>
        <v/>
      </c>
      <c r="L48" s="9">
        <f>$K48*Assumptions!$B$4</f>
        <v/>
      </c>
      <c r="M48" s="9">
        <f>RawTx[[#This Row],[Value USD]]/RawTx[[#This Row],[Quantity]]</f>
        <v/>
      </c>
      <c r="N48" s="9">
        <f>RawTx[[#This Row],[Value IDR]]/RawTx[[#This Row],[Quantity]]</f>
        <v/>
      </c>
      <c r="O48" s="4" t="inlineStr">
        <is>
          <t>WEST ANGELAS-930E-5 HPT STD (177645A) C/W ACCESSORIES PO REFERANCE : 3O</t>
        </is>
      </c>
      <c r="P48" s="5" t="inlineStr">
        <is>
          <t>Komatsu</t>
        </is>
      </c>
      <c r="Q48" s="13" t="inlineStr">
        <is>
          <t>930E-5</t>
        </is>
      </c>
      <c r="R48" s="7" t="n">
        <v>33053</v>
      </c>
      <c r="S48" s="7">
        <f>IFERROR($R48/$G48,"")</f>
        <v/>
      </c>
      <c r="T48" s="7" t="n">
        <v>50925.74</v>
      </c>
      <c r="U48" s="7" t="n">
        <v>5324.29</v>
      </c>
      <c r="V48" s="7" t="n">
        <v>321883.17</v>
      </c>
      <c r="W48" s="9">
        <f>IF(ISNUMBER($T48),$T48*$J48*Assumptions!$B$4,"NA")</f>
        <v/>
      </c>
      <c r="X48" s="9">
        <f>IF(ISNUMBER($U48),$U48*$J48*Assumptions!$B$4,"NA")</f>
        <v/>
      </c>
      <c r="Y48" s="9">
        <f>IF(ISNUMBER($V48),$V48*$J48*Assumptions!$B$4,"NA")</f>
        <v/>
      </c>
    </row>
    <row r="49">
      <c r="A49" s="5" t="inlineStr">
        <is>
          <t>Austin Engineering</t>
        </is>
      </c>
      <c r="B49" s="11" t="inlineStr">
        <is>
          <t>Dump bodies/truck trays</t>
        </is>
      </c>
      <c r="C49" s="5" t="inlineStr">
        <is>
          <t>Austin Engineering Limited</t>
        </is>
      </c>
      <c r="D49" s="11" t="inlineStr">
        <is>
          <t>Parent/Affiliate</t>
        </is>
      </c>
      <c r="E49" s="5" t="inlineStr">
        <is>
          <t>Australia</t>
        </is>
      </c>
      <c r="F49" s="5" t="n">
        <v>2025</v>
      </c>
      <c r="G49" s="5" t="n">
        <v>4</v>
      </c>
      <c r="H49" s="7" t="n">
        <v>209600.59</v>
      </c>
      <c r="I49" s="5" t="inlineStr">
        <is>
          <t>AUD</t>
        </is>
      </c>
      <c r="J49" s="8">
        <f>IF($I49="AUD",Assumptions!$B$2,Assumptions!$B$3)</f>
        <v/>
      </c>
      <c r="K49" s="9">
        <f>$G49*$H49*$J49</f>
        <v/>
      </c>
      <c r="L49" s="9">
        <f>$K49*Assumptions!$B$4</f>
        <v/>
      </c>
      <c r="M49" s="9">
        <f>RawTx[[#This Row],[Value USD]]/RawTx[[#This Row],[Quantity]]</f>
        <v/>
      </c>
      <c r="N49" s="9">
        <f>RawTx[[#This Row],[Value IDR]]/RawTx[[#This Row],[Quantity]]</f>
        <v/>
      </c>
      <c r="O49" s="4" t="inlineStr">
        <is>
          <t>YANDICOOGINA-930E-5 HPT STD (177645A) C/W ACCESSORIES PO REFERENCE : 30</t>
        </is>
      </c>
      <c r="P49" s="5" t="inlineStr">
        <is>
          <t>Komatsu</t>
        </is>
      </c>
      <c r="Q49" s="13" t="inlineStr">
        <is>
          <t>930E-5</t>
        </is>
      </c>
      <c r="R49" s="7" t="n">
        <v>132212</v>
      </c>
      <c r="S49" s="7">
        <f>IFERROR($R49/$G49,"")</f>
        <v/>
      </c>
      <c r="T49" s="7" t="n">
        <v>37475.57</v>
      </c>
      <c r="U49" s="7" t="n">
        <v>3918.07</v>
      </c>
      <c r="V49" s="7" t="n">
        <v>1287532.68</v>
      </c>
      <c r="W49" s="9">
        <f>IF(ISNUMBER($T49),$T49*$J49*Assumptions!$B$4,"NA")</f>
        <v/>
      </c>
      <c r="X49" s="9">
        <f>IF(ISNUMBER($U49),$U49*$J49*Assumptions!$B$4,"NA")</f>
        <v/>
      </c>
      <c r="Y49" s="9">
        <f>IF(ISNUMBER($V49),$V49*$J49*Assumptions!$B$4,"NA")</f>
        <v/>
      </c>
    </row>
    <row r="50">
      <c r="A50" s="5" t="inlineStr">
        <is>
          <t>Austin Engineering</t>
        </is>
      </c>
      <c r="B50" s="11" t="inlineStr">
        <is>
          <t>Dump bodies/truck trays</t>
        </is>
      </c>
      <c r="C50" s="5" t="inlineStr">
        <is>
          <t>Austin Engineering Limited</t>
        </is>
      </c>
      <c r="D50" s="11" t="inlineStr">
        <is>
          <t>Parent/Affiliate</t>
        </is>
      </c>
      <c r="E50" s="5" t="inlineStr">
        <is>
          <t>Australia</t>
        </is>
      </c>
      <c r="F50" s="5" t="n">
        <v>2025</v>
      </c>
      <c r="G50" s="5" t="n">
        <v>2</v>
      </c>
      <c r="H50" s="7" t="n">
        <v>190872.82</v>
      </c>
      <c r="I50" s="5" t="inlineStr">
        <is>
          <t>AUD</t>
        </is>
      </c>
      <c r="J50" s="8">
        <f>IF($I50="AUD",Assumptions!$B$2,Assumptions!$B$3)</f>
        <v/>
      </c>
      <c r="K50" s="9">
        <f>$G50*$H50*$J50</f>
        <v/>
      </c>
      <c r="L50" s="9">
        <f>$K50*Assumptions!$B$4</f>
        <v/>
      </c>
      <c r="M50" s="9">
        <f>RawTx[[#This Row],[Value USD]]/RawTx[[#This Row],[Quantity]]</f>
        <v/>
      </c>
      <c r="N50" s="9">
        <f>RawTx[[#This Row],[Value IDR]]/RawTx[[#This Row],[Quantity]]</f>
        <v/>
      </c>
      <c r="O50" s="4" t="inlineStr">
        <is>
          <t>TOM PRICE-830E-AC HPT HD (177392B) C/W ACCESSORIES, PO REFERENCE : 3016</t>
        </is>
      </c>
      <c r="P50" s="5" t="inlineStr">
        <is>
          <t>Komatsu</t>
        </is>
      </c>
      <c r="Q50" s="13" t="inlineStr">
        <is>
          <t>830E-AC</t>
        </is>
      </c>
      <c r="R50" s="7" t="n">
        <v>60836</v>
      </c>
      <c r="S50" s="7">
        <f>IFERROR($R50/$G50,"")</f>
        <v/>
      </c>
      <c r="T50" s="7" t="n">
        <v>37475.57</v>
      </c>
      <c r="U50" s="7" t="n">
        <v>3918.07</v>
      </c>
      <c r="V50" s="7" t="n">
        <v>586245.9399999999</v>
      </c>
      <c r="W50" s="9">
        <f>IF(ISNUMBER($T50),$T50*$J50*Assumptions!$B$4,"NA")</f>
        <v/>
      </c>
      <c r="X50" s="9">
        <f>IF(ISNUMBER($U50),$U50*$J50*Assumptions!$B$4,"NA")</f>
        <v/>
      </c>
      <c r="Y50" s="9">
        <f>IF(ISNUMBER($V50),$V50*$J50*Assumptions!$B$4,"NA")</f>
        <v/>
      </c>
    </row>
    <row r="51">
      <c r="A51" s="5" t="inlineStr">
        <is>
          <t>Austin Engineering</t>
        </is>
      </c>
      <c r="B51" s="11" t="inlineStr">
        <is>
          <t>Dump bodies/truck trays</t>
        </is>
      </c>
      <c r="C51" s="5" t="inlineStr">
        <is>
          <t>Austin Engineering Limited</t>
        </is>
      </c>
      <c r="D51" s="11" t="inlineStr">
        <is>
          <t>Parent/Affiliate</t>
        </is>
      </c>
      <c r="E51" s="5" t="inlineStr">
        <is>
          <t>Australia</t>
        </is>
      </c>
      <c r="F51" s="5" t="n">
        <v>2025</v>
      </c>
      <c r="G51" s="5" t="n">
        <v>6</v>
      </c>
      <c r="H51" s="7" t="n">
        <v>190204.64</v>
      </c>
      <c r="I51" s="5" t="inlineStr">
        <is>
          <t>AUD</t>
        </is>
      </c>
      <c r="J51" s="8">
        <f>IF($I51="AUD",Assumptions!$B$2,Assumptions!$B$3)</f>
        <v/>
      </c>
      <c r="K51" s="9">
        <f>$G51*$H51*$J51</f>
        <v/>
      </c>
      <c r="L51" s="9">
        <f>$K51*Assumptions!$B$4</f>
        <v/>
      </c>
      <c r="M51" s="9">
        <f>RawTx[[#This Row],[Value USD]]/RawTx[[#This Row],[Quantity]]</f>
        <v/>
      </c>
      <c r="N51" s="9">
        <f>RawTx[[#This Row],[Value IDR]]/RawTx[[#This Row],[Quantity]]</f>
        <v/>
      </c>
      <c r="O51" s="4" t="inlineStr">
        <is>
          <t>TOM PRICE-830E-AC HPT HD (177392B) C/W ACCESSORIES, PO REFERENCE : 3016</t>
        </is>
      </c>
      <c r="P51" s="5" t="inlineStr">
        <is>
          <t>Komatsu</t>
        </is>
      </c>
      <c r="Q51" s="13" t="inlineStr">
        <is>
          <t>830E-AC</t>
        </is>
      </c>
      <c r="R51" s="7" t="n">
        <v>182508</v>
      </c>
      <c r="S51" s="7">
        <f>IFERROR($R51/$G51,"")</f>
        <v/>
      </c>
      <c r="T51" s="7" t="n">
        <v>35174.76</v>
      </c>
      <c r="U51" s="7" t="n">
        <v>3677.52</v>
      </c>
      <c r="V51" s="7" t="n">
        <v>1758737.82</v>
      </c>
      <c r="W51" s="9">
        <f>IF(ISNUMBER($T51),$T51*$J51*Assumptions!$B$4,"NA")</f>
        <v/>
      </c>
      <c r="X51" s="9">
        <f>IF(ISNUMBER($U51),$U51*$J51*Assumptions!$B$4,"NA")</f>
        <v/>
      </c>
      <c r="Y51" s="9">
        <f>IF(ISNUMBER($V51),$V51*$J51*Assumptions!$B$4,"NA")</f>
        <v/>
      </c>
    </row>
    <row r="52">
      <c r="A52" s="5" t="inlineStr">
        <is>
          <t>Austin Engineering</t>
        </is>
      </c>
      <c r="B52" s="11" t="inlineStr">
        <is>
          <t>Dump bodies/truck trays</t>
        </is>
      </c>
      <c r="C52" s="5" t="inlineStr">
        <is>
          <t>Austin Engineering Limited</t>
        </is>
      </c>
      <c r="D52" s="11" t="inlineStr">
        <is>
          <t>Parent/Affiliate</t>
        </is>
      </c>
      <c r="E52" s="5" t="inlineStr">
        <is>
          <t>Australia</t>
        </is>
      </c>
      <c r="F52" s="5" t="n">
        <v>2025</v>
      </c>
      <c r="G52" s="5" t="n">
        <v>6</v>
      </c>
      <c r="H52" s="7" t="n">
        <v>188855.79</v>
      </c>
      <c r="I52" s="5" t="inlineStr">
        <is>
          <t>AUD</t>
        </is>
      </c>
      <c r="J52" s="8">
        <f>IF($I52="AUD",Assumptions!$B$2,Assumptions!$B$3)</f>
        <v/>
      </c>
      <c r="K52" s="9">
        <f>$G52*$H52*$J52</f>
        <v/>
      </c>
      <c r="L52" s="9">
        <f>$K52*Assumptions!$B$4</f>
        <v/>
      </c>
      <c r="M52" s="9">
        <f>RawTx[[#This Row],[Value USD]]/RawTx[[#This Row],[Quantity]]</f>
        <v/>
      </c>
      <c r="N52" s="9">
        <f>RawTx[[#This Row],[Value IDR]]/RawTx[[#This Row],[Quantity]]</f>
        <v/>
      </c>
      <c r="O52" s="4" t="inlineStr">
        <is>
          <t>TOM PRICE-830E-AC HPT HD (177392B) C/W ACCESSORIES, PO REFERENCE : 3161</t>
        </is>
      </c>
      <c r="P52" s="5" t="inlineStr">
        <is>
          <t>Komatsu</t>
        </is>
      </c>
      <c r="Q52" s="13" t="inlineStr">
        <is>
          <t>830E-AC</t>
        </is>
      </c>
      <c r="R52" s="7" t="n">
        <v>182508</v>
      </c>
      <c r="S52" s="7">
        <f>IFERROR($R52/$G52,"")</f>
        <v/>
      </c>
      <c r="T52" s="7" t="n">
        <v>35174.76</v>
      </c>
      <c r="U52" s="7" t="n">
        <v>3677.52</v>
      </c>
      <c r="V52" s="7" t="n">
        <v>1758737.82</v>
      </c>
      <c r="W52" s="9">
        <f>IF(ISNUMBER($T52),$T52*$J52*Assumptions!$B$4,"NA")</f>
        <v/>
      </c>
      <c r="X52" s="9">
        <f>IF(ISNUMBER($U52),$U52*$J52*Assumptions!$B$4,"NA")</f>
        <v/>
      </c>
      <c r="Y52" s="9">
        <f>IF(ISNUMBER($V52),$V52*$J52*Assumptions!$B$4,"NA")</f>
        <v/>
      </c>
    </row>
    <row r="53">
      <c r="A53" s="5" t="inlineStr">
        <is>
          <t>Austin Engineering</t>
        </is>
      </c>
      <c r="B53" s="11" t="inlineStr">
        <is>
          <t>Dump bodies/truck trays</t>
        </is>
      </c>
      <c r="C53" s="5" t="inlineStr">
        <is>
          <t>Austin Engineering Limited</t>
        </is>
      </c>
      <c r="D53" s="11" t="inlineStr">
        <is>
          <t>Parent/Affiliate</t>
        </is>
      </c>
      <c r="E53" s="5" t="inlineStr">
        <is>
          <t>Australia</t>
        </is>
      </c>
      <c r="F53" s="5" t="n">
        <v>2025</v>
      </c>
      <c r="G53" s="5" t="n">
        <v>9</v>
      </c>
      <c r="H53" s="7" t="n">
        <v>311738.22</v>
      </c>
      <c r="I53" s="5" t="inlineStr">
        <is>
          <t>AUD</t>
        </is>
      </c>
      <c r="J53" s="8">
        <f>IF($I53="AUD",Assumptions!$B$2,Assumptions!$B$3)</f>
        <v/>
      </c>
      <c r="K53" s="9">
        <f>$G53*$H53*$J53</f>
        <v/>
      </c>
      <c r="L53" s="9">
        <f>$K53*Assumptions!$B$4</f>
        <v/>
      </c>
      <c r="M53" s="9">
        <f>RawTx[[#This Row],[Value USD]]/RawTx[[#This Row],[Quantity]]</f>
        <v/>
      </c>
      <c r="N53" s="9">
        <f>RawTx[[#This Row],[Value IDR]]/RawTx[[#This Row],[Quantity]]</f>
        <v/>
      </c>
      <c r="O53" s="4" t="inlineStr">
        <is>
          <t>KOMATSU 930E-5 ULTB C/W ACCESSORIES PO REFERENCE:4503645051</t>
        </is>
      </c>
      <c r="P53" s="5" t="inlineStr">
        <is>
          <t>Komatsu</t>
        </is>
      </c>
      <c r="Q53" s="13" t="inlineStr">
        <is>
          <t>930E-5</t>
        </is>
      </c>
      <c r="R53" s="7" t="n">
        <v>366921</v>
      </c>
      <c r="S53" s="7">
        <f>IFERROR($R53/$G53,"")</f>
        <v/>
      </c>
      <c r="T53" s="7" t="n">
        <v>87829.38</v>
      </c>
      <c r="U53" s="7" t="n">
        <v>9182.559999999999</v>
      </c>
      <c r="V53" s="7" t="n">
        <v>4391469</v>
      </c>
      <c r="W53" s="9">
        <f>IF(ISNUMBER($T53),$T53*$J53*Assumptions!$B$4,"NA")</f>
        <v/>
      </c>
      <c r="X53" s="9">
        <f>IF(ISNUMBER($U53),$U53*$J53*Assumptions!$B$4,"NA")</f>
        <v/>
      </c>
      <c r="Y53" s="9">
        <f>IF(ISNUMBER($V53),$V53*$J53*Assumptions!$B$4,"NA")</f>
        <v/>
      </c>
    </row>
    <row r="54">
      <c r="A54" s="5" t="inlineStr">
        <is>
          <t>Austin Engineering</t>
        </is>
      </c>
      <c r="B54" s="11" t="inlineStr">
        <is>
          <t>Dump bodies/truck trays</t>
        </is>
      </c>
      <c r="C54" s="5" t="inlineStr">
        <is>
          <t>Austin Engineering Limited</t>
        </is>
      </c>
      <c r="D54" s="11" t="inlineStr">
        <is>
          <t>Parent/Affiliate</t>
        </is>
      </c>
      <c r="E54" s="5" t="inlineStr">
        <is>
          <t>Australia</t>
        </is>
      </c>
      <c r="F54" s="5" t="n">
        <v>2025</v>
      </c>
      <c r="G54" s="5" t="n">
        <v>6</v>
      </c>
      <c r="H54" s="7" t="n">
        <v>179449.94</v>
      </c>
      <c r="I54" s="5" t="inlineStr">
        <is>
          <t>AUD</t>
        </is>
      </c>
      <c r="J54" s="8">
        <f>IF($I54="AUD",Assumptions!$B$2,Assumptions!$B$3)</f>
        <v/>
      </c>
      <c r="K54" s="9">
        <f>$G54*$H54*$J54</f>
        <v/>
      </c>
      <c r="L54" s="9">
        <f>$K54*Assumptions!$B$4</f>
        <v/>
      </c>
      <c r="M54" s="9">
        <f>RawTx[[#This Row],[Value USD]]/RawTx[[#This Row],[Quantity]]</f>
        <v/>
      </c>
      <c r="N54" s="9">
        <f>RawTx[[#This Row],[Value IDR]]/RawTx[[#This Row],[Quantity]]</f>
        <v/>
      </c>
      <c r="O54" s="4" t="inlineStr">
        <is>
          <t>PARBURDOO-830E-AC HPT HD (177392B) C/W ACCESSORIES PO REFERENCE : 30161</t>
        </is>
      </c>
      <c r="P54" s="5" t="inlineStr">
        <is>
          <t>Komatsu</t>
        </is>
      </c>
      <c r="Q54" s="13" t="inlineStr">
        <is>
          <t>830E-AC</t>
        </is>
      </c>
      <c r="R54" s="7" t="n">
        <v>182508</v>
      </c>
      <c r="S54" s="7">
        <f>IFERROR($R54/$G54,"")</f>
        <v/>
      </c>
      <c r="T54" s="7" t="n">
        <v>41612.42</v>
      </c>
      <c r="U54" s="7" t="n">
        <v>4350.58</v>
      </c>
      <c r="V54" s="7" t="n">
        <v>1758737.82</v>
      </c>
      <c r="W54" s="9">
        <f>IF(ISNUMBER($T54),$T54*$J54*Assumptions!$B$4,"NA")</f>
        <v/>
      </c>
      <c r="X54" s="9">
        <f>IF(ISNUMBER($U54),$U54*$J54*Assumptions!$B$4,"NA")</f>
        <v/>
      </c>
      <c r="Y54" s="9">
        <f>IF(ISNUMBER($V54),$V54*$J54*Assumptions!$B$4,"NA")</f>
        <v/>
      </c>
    </row>
    <row r="55">
      <c r="A55" s="5" t="inlineStr">
        <is>
          <t>Austin Engineering</t>
        </is>
      </c>
      <c r="B55" s="11" t="inlineStr">
        <is>
          <t>Dump bodies/truck trays</t>
        </is>
      </c>
      <c r="C55" s="5" t="inlineStr">
        <is>
          <t>Austin Engineering Limited</t>
        </is>
      </c>
      <c r="D55" s="11" t="inlineStr">
        <is>
          <t>Parent/Affiliate</t>
        </is>
      </c>
      <c r="E55" s="5" t="inlineStr">
        <is>
          <t>Australia</t>
        </is>
      </c>
      <c r="F55" s="5" t="n">
        <v>2025</v>
      </c>
      <c r="G55" s="5" t="n">
        <v>1</v>
      </c>
      <c r="H55" s="7" t="n">
        <v>197056.94</v>
      </c>
      <c r="I55" s="5" t="inlineStr">
        <is>
          <t>AUD</t>
        </is>
      </c>
      <c r="J55" s="8">
        <f>IF($I55="AUD",Assumptions!$B$2,Assumptions!$B$3)</f>
        <v/>
      </c>
      <c r="K55" s="9">
        <f>$G55*$H55*$J55</f>
        <v/>
      </c>
      <c r="L55" s="9">
        <f>$K55*Assumptions!$B$4</f>
        <v/>
      </c>
      <c r="M55" s="9">
        <f>RawTx[[#This Row],[Value USD]]/RawTx[[#This Row],[Quantity]]</f>
        <v/>
      </c>
      <c r="N55" s="9">
        <f>RawTx[[#This Row],[Value IDR]]/RawTx[[#This Row],[Quantity]]</f>
        <v/>
      </c>
      <c r="O55" s="4" t="inlineStr">
        <is>
          <t>YANDICOOGINA-930E-5 HPT STD (177645A) C/W ACCESSORIES PO REFERENCE : 30</t>
        </is>
      </c>
      <c r="P55" s="5" t="inlineStr">
        <is>
          <t>Komatsu</t>
        </is>
      </c>
      <c r="Q55" s="13" t="inlineStr">
        <is>
          <t>930E-5</t>
        </is>
      </c>
      <c r="R55" s="7" t="n">
        <v>33053</v>
      </c>
      <c r="S55" s="7">
        <f>IFERROR($R55/$G55,"")</f>
        <v/>
      </c>
      <c r="T55" s="7" t="n">
        <v>41612.42</v>
      </c>
      <c r="U55" s="7" t="n">
        <v>4350.58</v>
      </c>
      <c r="V55" s="7" t="n">
        <v>321883.17</v>
      </c>
      <c r="W55" s="9">
        <f>IF(ISNUMBER($T55),$T55*$J55*Assumptions!$B$4,"NA")</f>
        <v/>
      </c>
      <c r="X55" s="9">
        <f>IF(ISNUMBER($U55),$U55*$J55*Assumptions!$B$4,"NA")</f>
        <v/>
      </c>
      <c r="Y55" s="9">
        <f>IF(ISNUMBER($V55),$V55*$J55*Assumptions!$B$4,"NA")</f>
        <v/>
      </c>
    </row>
    <row r="56">
      <c r="A56" s="5" t="inlineStr">
        <is>
          <t>Austin Engineering</t>
        </is>
      </c>
      <c r="B56" s="11" t="inlineStr">
        <is>
          <t>Dump bodies/truck trays</t>
        </is>
      </c>
      <c r="C56" s="5" t="inlineStr">
        <is>
          <t>Austin Engineering Limited</t>
        </is>
      </c>
      <c r="D56" s="11" t="inlineStr">
        <is>
          <t>Parent/Affiliate</t>
        </is>
      </c>
      <c r="E56" s="5" t="inlineStr">
        <is>
          <t>Australia</t>
        </is>
      </c>
      <c r="F56" s="5" t="n">
        <v>2025</v>
      </c>
      <c r="G56" s="5" t="n">
        <v>3</v>
      </c>
      <c r="H56" s="7" t="n">
        <v>183153.34</v>
      </c>
      <c r="I56" s="5" t="inlineStr">
        <is>
          <t>AUD</t>
        </is>
      </c>
      <c r="J56" s="8">
        <f>IF($I56="AUD",Assumptions!$B$2,Assumptions!$B$3)</f>
        <v/>
      </c>
      <c r="K56" s="9">
        <f>$G56*$H56*$J56</f>
        <v/>
      </c>
      <c r="L56" s="9">
        <f>$K56*Assumptions!$B$4</f>
        <v/>
      </c>
      <c r="M56" s="9">
        <f>RawTx[[#This Row],[Value USD]]/RawTx[[#This Row],[Quantity]]</f>
        <v/>
      </c>
      <c r="N56" s="9">
        <f>RawTx[[#This Row],[Value IDR]]/RawTx[[#This Row],[Quantity]]</f>
        <v/>
      </c>
      <c r="O56" s="4" t="inlineStr">
        <is>
          <t>930E HPT MAX STD (176602), WEST ANGELAS C/W ACCESSORIES PO REFERENCE :</t>
        </is>
      </c>
      <c r="P56" s="5" t="inlineStr">
        <is>
          <t>Komatsu</t>
        </is>
      </c>
      <c r="Q56" s="13" t="inlineStr">
        <is>
          <t>930E</t>
        </is>
      </c>
      <c r="R56" s="7" t="n">
        <v>104166</v>
      </c>
      <c r="S56" s="7">
        <f>IFERROR($R56/$G56,"")</f>
        <v/>
      </c>
      <c r="T56" s="7" t="n">
        <v>35270.12</v>
      </c>
      <c r="U56" s="7" t="n">
        <v>3687.49</v>
      </c>
      <c r="V56" s="7" t="n">
        <v>881753.04</v>
      </c>
      <c r="W56" s="9">
        <f>IF(ISNUMBER($T56),$T56*$J56*Assumptions!$B$4,"NA")</f>
        <v/>
      </c>
      <c r="X56" s="9">
        <f>IF(ISNUMBER($U56),$U56*$J56*Assumptions!$B$4,"NA")</f>
        <v/>
      </c>
      <c r="Y56" s="9">
        <f>IF(ISNUMBER($V56),$V56*$J56*Assumptions!$B$4,"NA")</f>
        <v/>
      </c>
    </row>
    <row r="57">
      <c r="A57" s="5" t="inlineStr">
        <is>
          <t>Austin Engineering</t>
        </is>
      </c>
      <c r="B57" s="11" t="inlineStr">
        <is>
          <t>Dump bodies/truck trays</t>
        </is>
      </c>
      <c r="C57" s="5" t="inlineStr">
        <is>
          <t>Austin Engineering Limited</t>
        </is>
      </c>
      <c r="D57" s="11" t="inlineStr">
        <is>
          <t>Parent/Affiliate</t>
        </is>
      </c>
      <c r="E57" s="5" t="inlineStr">
        <is>
          <t>Australia</t>
        </is>
      </c>
      <c r="F57" s="5" t="n">
        <v>2025</v>
      </c>
      <c r="G57" s="5" t="n">
        <v>3</v>
      </c>
      <c r="H57" s="7" t="n">
        <v>183153.33</v>
      </c>
      <c r="I57" s="5" t="inlineStr">
        <is>
          <t>AUD</t>
        </is>
      </c>
      <c r="J57" s="8">
        <f>IF($I57="AUD",Assumptions!$B$2,Assumptions!$B$3)</f>
        <v/>
      </c>
      <c r="K57" s="9">
        <f>$G57*$H57*$J57</f>
        <v/>
      </c>
      <c r="L57" s="9">
        <f>$K57*Assumptions!$B$4</f>
        <v/>
      </c>
      <c r="M57" s="9">
        <f>RawTx[[#This Row],[Value USD]]/RawTx[[#This Row],[Quantity]]</f>
        <v/>
      </c>
      <c r="N57" s="9">
        <f>RawTx[[#This Row],[Value IDR]]/RawTx[[#This Row],[Quantity]]</f>
        <v/>
      </c>
      <c r="O57" s="4" t="inlineStr">
        <is>
          <t>930E-4 HPT MAX STD (176602), YANDI C/W ACCESSORIES PO REFERENCE : 3014</t>
        </is>
      </c>
      <c r="P57" s="5" t="inlineStr">
        <is>
          <t>Komatsu</t>
        </is>
      </c>
      <c r="Q57" s="13" t="inlineStr">
        <is>
          <t>930E-4</t>
        </is>
      </c>
      <c r="R57" s="7" t="n">
        <v>99159</v>
      </c>
      <c r="S57" s="7">
        <f>IFERROR($R57/$G57,"")</f>
        <v/>
      </c>
      <c r="T57" s="7" t="inlineStr">
        <is>
          <t>NA</t>
        </is>
      </c>
      <c r="U57" s="7" t="inlineStr">
        <is>
          <t>NA</t>
        </is>
      </c>
      <c r="V57" s="7" t="inlineStr">
        <is>
          <t>NA</t>
        </is>
      </c>
      <c r="W57" s="9">
        <f>IF(ISNUMBER($T57),$T57*$J57*Assumptions!$B$4,"NA")</f>
        <v/>
      </c>
      <c r="X57" s="9">
        <f>IF(ISNUMBER($U57),$U57*$J57*Assumptions!$B$4,"NA")</f>
        <v/>
      </c>
      <c r="Y57" s="9">
        <f>IF(ISNUMBER($V57),$V57*$J57*Assumptions!$B$4,"NA")</f>
        <v/>
      </c>
    </row>
    <row r="58">
      <c r="A58" s="5" t="inlineStr">
        <is>
          <t>Austin Engineering</t>
        </is>
      </c>
      <c r="B58" s="11" t="inlineStr">
        <is>
          <t>Dump bodies/truck trays</t>
        </is>
      </c>
      <c r="C58" s="5" t="inlineStr">
        <is>
          <t>Austin Engineering Limited</t>
        </is>
      </c>
      <c r="D58" s="11" t="inlineStr">
        <is>
          <t>Parent/Affiliate</t>
        </is>
      </c>
      <c r="E58" s="5" t="inlineStr">
        <is>
          <t>Australia</t>
        </is>
      </c>
      <c r="F58" s="5" t="n">
        <v>2025</v>
      </c>
      <c r="G58" s="5" t="n">
        <v>6</v>
      </c>
      <c r="H58" s="7" t="n">
        <v>186205.46</v>
      </c>
      <c r="I58" s="5" t="inlineStr">
        <is>
          <t>AUD</t>
        </is>
      </c>
      <c r="J58" s="8">
        <f>IF($I58="AUD",Assumptions!$B$2,Assumptions!$B$3)</f>
        <v/>
      </c>
      <c r="K58" s="9">
        <f>$G58*$H58*$J58</f>
        <v/>
      </c>
      <c r="L58" s="9">
        <f>$K58*Assumptions!$B$4</f>
        <v/>
      </c>
      <c r="M58" s="9">
        <f>RawTx[[#This Row],[Value USD]]/RawTx[[#This Row],[Quantity]]</f>
        <v/>
      </c>
      <c r="N58" s="9">
        <f>RawTx[[#This Row],[Value IDR]]/RawTx[[#This Row],[Quantity]]</f>
        <v/>
      </c>
      <c r="O58" s="4" t="inlineStr">
        <is>
          <t>930E HPT MAX STD (176602), WEST ANGELAS C/W ACCESSORIES PO REFERENCE :</t>
        </is>
      </c>
      <c r="P58" s="5" t="inlineStr">
        <is>
          <t>Komatsu</t>
        </is>
      </c>
      <c r="Q58" s="13" t="inlineStr">
        <is>
          <t>930E</t>
        </is>
      </c>
      <c r="R58" s="7" t="n">
        <v>208332</v>
      </c>
      <c r="S58" s="7">
        <f>IFERROR($R58/$G58,"")</f>
        <v/>
      </c>
      <c r="T58" s="7" t="inlineStr">
        <is>
          <t>NA</t>
        </is>
      </c>
      <c r="U58" s="7" t="inlineStr">
        <is>
          <t>NA</t>
        </is>
      </c>
      <c r="V58" s="7" t="inlineStr">
        <is>
          <t>NA</t>
        </is>
      </c>
      <c r="W58" s="9">
        <f>IF(ISNUMBER($T58),$T58*$J58*Assumptions!$B$4,"NA")</f>
        <v/>
      </c>
      <c r="X58" s="9">
        <f>IF(ISNUMBER($U58),$U58*$J58*Assumptions!$B$4,"NA")</f>
        <v/>
      </c>
      <c r="Y58" s="9">
        <f>IF(ISNUMBER($V58),$V58*$J58*Assumptions!$B$4,"NA")</f>
        <v/>
      </c>
    </row>
    <row r="59">
      <c r="A59" s="5" t="inlineStr">
        <is>
          <t>Austin Engineering</t>
        </is>
      </c>
      <c r="B59" s="11" t="inlineStr">
        <is>
          <t>Dump bodies/truck trays</t>
        </is>
      </c>
      <c r="C59" s="5" t="inlineStr">
        <is>
          <t>Austin Engineering Limited</t>
        </is>
      </c>
      <c r="D59" s="11" t="inlineStr">
        <is>
          <t>Parent/Affiliate</t>
        </is>
      </c>
      <c r="E59" s="5" t="inlineStr">
        <is>
          <t>Australia</t>
        </is>
      </c>
      <c r="F59" s="5" t="n">
        <v>2025</v>
      </c>
      <c r="G59" s="5" t="n">
        <v>6</v>
      </c>
      <c r="H59" s="7" t="n">
        <v>184982.77</v>
      </c>
      <c r="I59" s="5" t="inlineStr">
        <is>
          <t>AUD</t>
        </is>
      </c>
      <c r="J59" s="8">
        <f>IF($I59="AUD",Assumptions!$B$2,Assumptions!$B$3)</f>
        <v/>
      </c>
      <c r="K59" s="9">
        <f>$G59*$H59*$J59</f>
        <v/>
      </c>
      <c r="L59" s="9">
        <f>$K59*Assumptions!$B$4</f>
        <v/>
      </c>
      <c r="M59" s="9">
        <f>RawTx[[#This Row],[Value USD]]/RawTx[[#This Row],[Quantity]]</f>
        <v/>
      </c>
      <c r="N59" s="9">
        <f>RawTx[[#This Row],[Value IDR]]/RawTx[[#This Row],[Quantity]]</f>
        <v/>
      </c>
      <c r="O59" s="4" t="inlineStr">
        <is>
          <t>930E HPT MAX STD (176602), WEST ANGELAS C/W ACCESSORIES PO REFERENCE :</t>
        </is>
      </c>
      <c r="P59" s="5" t="inlineStr">
        <is>
          <t>Komatsu</t>
        </is>
      </c>
      <c r="Q59" s="13" t="inlineStr">
        <is>
          <t>930E</t>
        </is>
      </c>
      <c r="R59" s="7" t="n">
        <v>208332</v>
      </c>
      <c r="S59" s="7">
        <f>IFERROR($R59/$G59,"")</f>
        <v/>
      </c>
      <c r="T59" s="7" t="inlineStr">
        <is>
          <t>NA</t>
        </is>
      </c>
      <c r="U59" s="7" t="inlineStr">
        <is>
          <t>NA</t>
        </is>
      </c>
      <c r="V59" s="7" t="inlineStr">
        <is>
          <t>NA</t>
        </is>
      </c>
      <c r="W59" s="9">
        <f>IF(ISNUMBER($T59),$T59*$J59*Assumptions!$B$4,"NA")</f>
        <v/>
      </c>
      <c r="X59" s="9">
        <f>IF(ISNUMBER($U59),$U59*$J59*Assumptions!$B$4,"NA")</f>
        <v/>
      </c>
      <c r="Y59" s="9">
        <f>IF(ISNUMBER($V59),$V59*$J59*Assumptions!$B$4,"NA")</f>
        <v/>
      </c>
    </row>
    <row r="60">
      <c r="A60" s="5" t="inlineStr">
        <is>
          <t>Austin Engineering</t>
        </is>
      </c>
      <c r="B60" s="11" t="inlineStr">
        <is>
          <t>Dump bodies/truck trays</t>
        </is>
      </c>
      <c r="C60" s="5" t="inlineStr">
        <is>
          <t>Austin Engineering Limited</t>
        </is>
      </c>
      <c r="D60" s="11" t="inlineStr">
        <is>
          <t>Parent/Affiliate</t>
        </is>
      </c>
      <c r="E60" s="5" t="inlineStr">
        <is>
          <t>Australia</t>
        </is>
      </c>
      <c r="F60" s="5" t="n">
        <v>2025</v>
      </c>
      <c r="G60" s="5" t="n">
        <v>3</v>
      </c>
      <c r="H60" s="7" t="n">
        <v>182490.73</v>
      </c>
      <c r="I60" s="5" t="inlineStr">
        <is>
          <t>AUD</t>
        </is>
      </c>
      <c r="J60" s="8">
        <f>IF($I60="AUD",Assumptions!$B$2,Assumptions!$B$3)</f>
        <v/>
      </c>
      <c r="K60" s="9">
        <f>$G60*$H60*$J60</f>
        <v/>
      </c>
      <c r="L60" s="9">
        <f>$K60*Assumptions!$B$4</f>
        <v/>
      </c>
      <c r="M60" s="9">
        <f>RawTx[[#This Row],[Value USD]]/RawTx[[#This Row],[Quantity]]</f>
        <v/>
      </c>
      <c r="N60" s="9">
        <f>RawTx[[#This Row],[Value IDR]]/RawTx[[#This Row],[Quantity]]</f>
        <v/>
      </c>
      <c r="O60" s="4" t="inlineStr">
        <is>
          <t>830E-AC HPT MAX STD (176603), MESA J C/W ACCESSORIES PO REFERENCE : 301</t>
        </is>
      </c>
      <c r="P60" s="5" t="inlineStr">
        <is>
          <t>Komatsu</t>
        </is>
      </c>
      <c r="Q60" s="13" t="inlineStr">
        <is>
          <t>830E-AC</t>
        </is>
      </c>
      <c r="R60" s="7" t="n">
        <v>91845</v>
      </c>
      <c r="S60" s="7">
        <f>IFERROR($R60/$G60,"")</f>
        <v/>
      </c>
      <c r="T60" s="7" t="inlineStr">
        <is>
          <t>NA</t>
        </is>
      </c>
      <c r="U60" s="7" t="inlineStr">
        <is>
          <t>NA</t>
        </is>
      </c>
      <c r="V60" s="7" t="inlineStr">
        <is>
          <t>NA</t>
        </is>
      </c>
      <c r="W60" s="9">
        <f>IF(ISNUMBER($T60),$T60*$J60*Assumptions!$B$4,"NA")</f>
        <v/>
      </c>
      <c r="X60" s="9">
        <f>IF(ISNUMBER($U60),$U60*$J60*Assumptions!$B$4,"NA")</f>
        <v/>
      </c>
      <c r="Y60" s="9">
        <f>IF(ISNUMBER($V60),$V60*$J60*Assumptions!$B$4,"NA")</f>
        <v/>
      </c>
    </row>
    <row r="61">
      <c r="A61" s="5" t="inlineStr">
        <is>
          <t>Austin Engineering</t>
        </is>
      </c>
      <c r="B61" s="11" t="inlineStr">
        <is>
          <t>Dump bodies/truck trays</t>
        </is>
      </c>
      <c r="C61" s="5" t="inlineStr">
        <is>
          <t>Austin Engineering Limited</t>
        </is>
      </c>
      <c r="D61" s="11" t="inlineStr">
        <is>
          <t>Parent/Affiliate</t>
        </is>
      </c>
      <c r="E61" s="5" t="inlineStr">
        <is>
          <t>Australia</t>
        </is>
      </c>
      <c r="F61" s="5" t="n">
        <v>2025</v>
      </c>
      <c r="G61" s="5" t="n">
        <v>2</v>
      </c>
      <c r="H61" s="7" t="n">
        <v>182490.73</v>
      </c>
      <c r="I61" s="5" t="inlineStr">
        <is>
          <t>AUD</t>
        </is>
      </c>
      <c r="J61" s="8">
        <f>IF($I61="AUD",Assumptions!$B$2,Assumptions!$B$3)</f>
        <v/>
      </c>
      <c r="K61" s="9">
        <f>$G61*$H61*$J61</f>
        <v/>
      </c>
      <c r="L61" s="9">
        <f>$K61*Assumptions!$B$4</f>
        <v/>
      </c>
      <c r="M61" s="9">
        <f>RawTx[[#This Row],[Value USD]]/RawTx[[#This Row],[Quantity]]</f>
        <v/>
      </c>
      <c r="N61" s="9">
        <f>RawTx[[#This Row],[Value IDR]]/RawTx[[#This Row],[Quantity]]</f>
        <v/>
      </c>
      <c r="O61" s="4" t="inlineStr">
        <is>
          <t>830E-AC HPT MAX STD (176603), MESA A C/W ACCESSORIES PO REFERENCE : 301</t>
        </is>
      </c>
      <c r="P61" s="5" t="inlineStr">
        <is>
          <t>Komatsu</t>
        </is>
      </c>
      <c r="Q61" s="13" t="inlineStr">
        <is>
          <t>830E-AC</t>
        </is>
      </c>
      <c r="R61" s="7" t="n">
        <v>61230</v>
      </c>
      <c r="S61" s="7">
        <f>IFERROR($R61/$G61,"")</f>
        <v/>
      </c>
      <c r="T61" s="7" t="inlineStr">
        <is>
          <t>NA</t>
        </is>
      </c>
      <c r="U61" s="7" t="inlineStr">
        <is>
          <t>NA</t>
        </is>
      </c>
      <c r="V61" s="7" t="inlineStr">
        <is>
          <t>NA</t>
        </is>
      </c>
      <c r="W61" s="9">
        <f>IF(ISNUMBER($T61),$T61*$J61*Assumptions!$B$4,"NA")</f>
        <v/>
      </c>
      <c r="X61" s="9">
        <f>IF(ISNUMBER($U61),$U61*$J61*Assumptions!$B$4,"NA")</f>
        <v/>
      </c>
      <c r="Y61" s="9">
        <f>IF(ISNUMBER($V61),$V61*$J61*Assumptions!$B$4,"NA")</f>
        <v/>
      </c>
    </row>
    <row r="62">
      <c r="A62" s="5" t="inlineStr">
        <is>
          <t>Austin Engineering</t>
        </is>
      </c>
      <c r="B62" s="11" t="inlineStr">
        <is>
          <t>Dump bodies/truck trays</t>
        </is>
      </c>
      <c r="C62" s="5" t="inlineStr">
        <is>
          <t>Austin Engineering Limited</t>
        </is>
      </c>
      <c r="D62" s="11" t="inlineStr">
        <is>
          <t>Parent/Affiliate</t>
        </is>
      </c>
      <c r="E62" s="5" t="inlineStr">
        <is>
          <t>Australia</t>
        </is>
      </c>
      <c r="F62" s="5" t="n">
        <v>2025</v>
      </c>
      <c r="G62" s="5" t="n">
        <v>1</v>
      </c>
      <c r="H62" s="7" t="n">
        <v>186988.05</v>
      </c>
      <c r="I62" s="5" t="inlineStr">
        <is>
          <t>AUD</t>
        </is>
      </c>
      <c r="J62" s="8">
        <f>IF($I62="AUD",Assumptions!$B$2,Assumptions!$B$3)</f>
        <v/>
      </c>
      <c r="K62" s="9">
        <f>$G62*$H62*$J62</f>
        <v/>
      </c>
      <c r="L62" s="9">
        <f>$K62*Assumptions!$B$4</f>
        <v/>
      </c>
      <c r="M62" s="9">
        <f>RawTx[[#This Row],[Value USD]]/RawTx[[#This Row],[Quantity]]</f>
        <v/>
      </c>
      <c r="N62" s="9">
        <f>RawTx[[#This Row],[Value IDR]]/RawTx[[#This Row],[Quantity]]</f>
        <v/>
      </c>
      <c r="O62" s="4" t="inlineStr">
        <is>
          <t>930E-4 HPT MAX STD (176602), YANDI C/W ACCESSORIES PO REFERENCE : 3014</t>
        </is>
      </c>
      <c r="P62" s="5" t="inlineStr">
        <is>
          <t>Komatsu</t>
        </is>
      </c>
      <c r="Q62" s="13" t="inlineStr">
        <is>
          <t>930E-4</t>
        </is>
      </c>
      <c r="R62" s="7" t="n">
        <v>33053</v>
      </c>
      <c r="S62" s="7">
        <f>IFERROR($R62/$G62,"")</f>
        <v/>
      </c>
      <c r="T62" s="7" t="inlineStr">
        <is>
          <t>NA</t>
        </is>
      </c>
      <c r="U62" s="7" t="inlineStr">
        <is>
          <t>NA</t>
        </is>
      </c>
      <c r="V62" s="7" t="inlineStr">
        <is>
          <t>NA</t>
        </is>
      </c>
      <c r="W62" s="9">
        <f>IF(ISNUMBER($T62),$T62*$J62*Assumptions!$B$4,"NA")</f>
        <v/>
      </c>
      <c r="X62" s="9">
        <f>IF(ISNUMBER($U62),$U62*$J62*Assumptions!$B$4,"NA")</f>
        <v/>
      </c>
      <c r="Y62" s="9">
        <f>IF(ISNUMBER($V62),$V62*$J62*Assumptions!$B$4,"NA")</f>
        <v/>
      </c>
    </row>
    <row r="63">
      <c r="A63" s="5" t="inlineStr">
        <is>
          <t>Austin Engineering</t>
        </is>
      </c>
      <c r="B63" s="11" t="inlineStr">
        <is>
          <t>Dump bodies/truck trays</t>
        </is>
      </c>
      <c r="C63" s="5" t="inlineStr">
        <is>
          <t>Austin Engineering Limited</t>
        </is>
      </c>
      <c r="D63" s="11" t="inlineStr">
        <is>
          <t>Parent/Affiliate</t>
        </is>
      </c>
      <c r="E63" s="5" t="inlineStr">
        <is>
          <t>Australia</t>
        </is>
      </c>
      <c r="F63" s="5" t="n">
        <v>2025</v>
      </c>
      <c r="G63" s="5" t="n">
        <v>6</v>
      </c>
      <c r="H63" s="7" t="n">
        <v>185186.29</v>
      </c>
      <c r="I63" s="5" t="inlineStr">
        <is>
          <t>AUD</t>
        </is>
      </c>
      <c r="J63" s="8">
        <f>IF($I63="AUD",Assumptions!$B$2,Assumptions!$B$3)</f>
        <v/>
      </c>
      <c r="K63" s="9">
        <f>$G63*$H63*$J63</f>
        <v/>
      </c>
      <c r="L63" s="9">
        <f>$K63*Assumptions!$B$4</f>
        <v/>
      </c>
      <c r="M63" s="9">
        <f>RawTx[[#This Row],[Value USD]]/RawTx[[#This Row],[Quantity]]</f>
        <v/>
      </c>
      <c r="N63" s="9">
        <f>RawTx[[#This Row],[Value IDR]]/RawTx[[#This Row],[Quantity]]</f>
        <v/>
      </c>
      <c r="O63" s="4" t="inlineStr">
        <is>
          <t>793F HPT MAX STD, MARANDOO C/W ACCESSORIES PO REFERENCE : 3014850237,</t>
        </is>
      </c>
      <c r="P63" s="5" t="inlineStr">
        <is>
          <t>Caterpillar</t>
        </is>
      </c>
      <c r="Q63" s="14" t="inlineStr">
        <is>
          <t>793F</t>
        </is>
      </c>
      <c r="R63" s="7" t="n">
        <v>167340</v>
      </c>
      <c r="S63" s="7">
        <f>IFERROR($R63/$G63,"")</f>
        <v/>
      </c>
      <c r="T63" s="7" t="inlineStr">
        <is>
          <t>NA</t>
        </is>
      </c>
      <c r="U63" s="7" t="inlineStr">
        <is>
          <t>NA</t>
        </is>
      </c>
      <c r="V63" s="7" t="inlineStr">
        <is>
          <t>NA</t>
        </is>
      </c>
      <c r="W63" s="9">
        <f>IF(ISNUMBER($T63),$T63*$J63*Assumptions!$B$4,"NA")</f>
        <v/>
      </c>
      <c r="X63" s="9">
        <f>IF(ISNUMBER($U63),$U63*$J63*Assumptions!$B$4,"NA")</f>
        <v/>
      </c>
      <c r="Y63" s="9">
        <f>IF(ISNUMBER($V63),$V63*$J63*Assumptions!$B$4,"NA")</f>
        <v/>
      </c>
    </row>
    <row r="64">
      <c r="A64" s="5" t="inlineStr">
        <is>
          <t>Austin Engineering</t>
        </is>
      </c>
      <c r="B64" s="11" t="inlineStr">
        <is>
          <t>Dump bodies/truck trays</t>
        </is>
      </c>
      <c r="C64" s="5" t="inlineStr">
        <is>
          <t>Lihir Gold Limited</t>
        </is>
      </c>
      <c r="D64" s="5" t="inlineStr">
        <is>
          <t>Owner</t>
        </is>
      </c>
      <c r="E64" s="5" t="inlineStr">
        <is>
          <t>Papua New Guinea</t>
        </is>
      </c>
      <c r="F64" s="5" t="n">
        <v>2025</v>
      </c>
      <c r="G64" s="5" t="n">
        <v>4</v>
      </c>
      <c r="H64" s="7" t="n">
        <v>177193.12</v>
      </c>
      <c r="I64" s="5" t="inlineStr">
        <is>
          <t>AUD</t>
        </is>
      </c>
      <c r="J64" s="8">
        <f>IF($I64="AUD",Assumptions!$B$2,Assumptions!$B$3)</f>
        <v/>
      </c>
      <c r="K64" s="9">
        <f>$G64*$H64*$J64</f>
        <v/>
      </c>
      <c r="L64" s="9">
        <f>$K64*Assumptions!$B$4</f>
        <v/>
      </c>
      <c r="M64" s="9">
        <f>RawTx[[#This Row],[Value USD]]/RawTx[[#This Row],[Quantity]]</f>
        <v/>
      </c>
      <c r="N64" s="9">
        <f>RawTx[[#This Row],[Value IDR]]/RawTx[[#This Row],[Quantity]]</f>
        <v/>
      </c>
      <c r="O64" s="4" t="inlineStr">
        <is>
          <t>HPT CAT 785D HAUL TRUCK TRAY C/W ACCESSORIESPO REFERENCE : 4501746235</t>
        </is>
      </c>
      <c r="P64" s="5" t="inlineStr">
        <is>
          <t>Caterpillar</t>
        </is>
      </c>
      <c r="Q64" s="13" t="inlineStr">
        <is>
          <t>785D</t>
        </is>
      </c>
      <c r="R64" s="7" t="n">
        <v>89396</v>
      </c>
      <c r="S64" s="7">
        <f>IFERROR($R64/$G64,"")</f>
        <v/>
      </c>
      <c r="T64" s="7" t="n">
        <v>0</v>
      </c>
      <c r="U64" s="7" t="n">
        <v>0</v>
      </c>
      <c r="V64" s="7" t="n">
        <v>1073800</v>
      </c>
      <c r="W64" s="9">
        <f>IF(ISNUMBER($T64),$T64*$J64*Assumptions!$B$4,"NA")</f>
        <v/>
      </c>
      <c r="X64" s="9">
        <f>IF(ISNUMBER($U64),$U64*$J64*Assumptions!$B$4,"NA")</f>
        <v/>
      </c>
      <c r="Y64" s="9">
        <f>IF(ISNUMBER($V64),$V64*$J64*Assumptions!$B$4,"NA")</f>
        <v/>
      </c>
    </row>
    <row r="65">
      <c r="A65" s="5" t="inlineStr">
        <is>
          <t>Austin Engineering</t>
        </is>
      </c>
      <c r="B65" s="11" t="inlineStr">
        <is>
          <t>Dump bodies/truck trays</t>
        </is>
      </c>
      <c r="C65" s="5" t="inlineStr">
        <is>
          <t>Lihir Gold Limited</t>
        </is>
      </c>
      <c r="D65" s="5" t="inlineStr">
        <is>
          <t>Owner</t>
        </is>
      </c>
      <c r="E65" s="5" t="inlineStr">
        <is>
          <t>Papua New Guinea</t>
        </is>
      </c>
      <c r="F65" s="5" t="n">
        <v>2025</v>
      </c>
      <c r="G65" s="5" t="n">
        <v>1</v>
      </c>
      <c r="H65" s="7" t="n">
        <v>201282.01</v>
      </c>
      <c r="I65" s="5" t="inlineStr">
        <is>
          <t>AUD</t>
        </is>
      </c>
      <c r="J65" s="8">
        <f>IF($I65="AUD",Assumptions!$B$2,Assumptions!$B$3)</f>
        <v/>
      </c>
      <c r="K65" s="9">
        <f>$G65*$H65*$J65</f>
        <v/>
      </c>
      <c r="L65" s="9">
        <f>$K65*Assumptions!$B$4</f>
        <v/>
      </c>
      <c r="M65" s="9">
        <f>RawTx[[#This Row],[Value USD]]/RawTx[[#This Row],[Quantity]]</f>
        <v/>
      </c>
      <c r="N65" s="9">
        <f>RawTx[[#This Row],[Value IDR]]/RawTx[[#This Row],[Quantity]]</f>
        <v/>
      </c>
      <c r="O65" s="4" t="inlineStr">
        <is>
          <t>FAULTY CHASSIS CAT 785D TRUCK PO REFERENCE : 4501708976</t>
        </is>
      </c>
      <c r="P65" s="5" t="inlineStr">
        <is>
          <t>Caterpillar</t>
        </is>
      </c>
      <c r="Q65" s="13" t="inlineStr">
        <is>
          <t>785D</t>
        </is>
      </c>
      <c r="R65" s="7" t="n">
        <v>15800</v>
      </c>
      <c r="S65" s="7">
        <f>IFERROR($R65/$G65,"")</f>
        <v/>
      </c>
      <c r="T65" s="7" t="n">
        <v>0</v>
      </c>
      <c r="U65" s="7" t="n">
        <v>0</v>
      </c>
      <c r="V65" s="7" t="n">
        <v>304945</v>
      </c>
      <c r="W65" s="9">
        <f>IF(ISNUMBER($T65),$T65*$J65*Assumptions!$B$4,"NA")</f>
        <v/>
      </c>
      <c r="X65" s="9">
        <f>IF(ISNUMBER($U65),$U65*$J65*Assumptions!$B$4,"NA")</f>
        <v/>
      </c>
      <c r="Y65" s="9">
        <f>IF(ISNUMBER($V65),$V65*$J65*Assumptions!$B$4,"NA")</f>
        <v/>
      </c>
    </row>
    <row r="66">
      <c r="A66" s="5" t="inlineStr">
        <is>
          <t>Austin Engineering</t>
        </is>
      </c>
      <c r="B66" s="11" t="inlineStr">
        <is>
          <t>Dump bodies/truck trays</t>
        </is>
      </c>
      <c r="C66" s="5" t="inlineStr">
        <is>
          <t>Lihir Gold Limited</t>
        </is>
      </c>
      <c r="D66" s="5" t="inlineStr">
        <is>
          <t>Owner</t>
        </is>
      </c>
      <c r="E66" s="5" t="inlineStr">
        <is>
          <t>Papua New Guinea</t>
        </is>
      </c>
      <c r="F66" s="5" t="n">
        <v>2025</v>
      </c>
      <c r="G66" s="5" t="n">
        <v>1</v>
      </c>
      <c r="H66" s="7" t="n">
        <v>201282.01</v>
      </c>
      <c r="I66" s="5" t="inlineStr">
        <is>
          <t>AUD</t>
        </is>
      </c>
      <c r="J66" s="8">
        <f>IF($I66="AUD",Assumptions!$B$2,Assumptions!$B$3)</f>
        <v/>
      </c>
      <c r="K66" s="9">
        <f>$G66*$H66*$J66</f>
        <v/>
      </c>
      <c r="L66" s="9">
        <f>$K66*Assumptions!$B$4</f>
        <v/>
      </c>
      <c r="M66" s="9">
        <f>RawTx[[#This Row],[Value USD]]/RawTx[[#This Row],[Quantity]]</f>
        <v/>
      </c>
      <c r="N66" s="9">
        <f>RawTx[[#This Row],[Value IDR]]/RawTx[[#This Row],[Quantity]]</f>
        <v/>
      </c>
      <c r="O66" s="4" t="inlineStr">
        <is>
          <t>FAULTY CHASSIS CAT 785D TRUCK PO REFERENCE : 4501708976</t>
        </is>
      </c>
      <c r="P66" s="5" t="inlineStr">
        <is>
          <t>Caterpillar</t>
        </is>
      </c>
      <c r="Q66" s="13" t="inlineStr">
        <is>
          <t>785D</t>
        </is>
      </c>
      <c r="R66" s="7" t="n">
        <v>15800</v>
      </c>
      <c r="S66" s="7">
        <f>IFERROR($R66/$G66,"")</f>
        <v/>
      </c>
      <c r="T66" s="7" t="inlineStr">
        <is>
          <t>NA</t>
        </is>
      </c>
      <c r="U66" s="7" t="inlineStr">
        <is>
          <t>NA</t>
        </is>
      </c>
      <c r="V66" s="7" t="inlineStr">
        <is>
          <t>NA</t>
        </is>
      </c>
      <c r="W66" s="9">
        <f>IF(ISNUMBER($T66),$T66*$J66*Assumptions!$B$4,"NA")</f>
        <v/>
      </c>
      <c r="X66" s="9">
        <f>IF(ISNUMBER($U66),$U66*$J66*Assumptions!$B$4,"NA")</f>
        <v/>
      </c>
      <c r="Y66" s="9">
        <f>IF(ISNUMBER($V66),$V66*$J66*Assumptions!$B$4,"NA")</f>
        <v/>
      </c>
    </row>
    <row r="67">
      <c r="A67" s="5" t="inlineStr">
        <is>
          <t>Austin Engineering</t>
        </is>
      </c>
      <c r="B67" s="11" t="inlineStr">
        <is>
          <t>Dump bodies/truck trays</t>
        </is>
      </c>
      <c r="C67" s="5" t="inlineStr">
        <is>
          <t>Lihir Gold Limited</t>
        </is>
      </c>
      <c r="D67" s="5" t="inlineStr">
        <is>
          <t>Owner</t>
        </is>
      </c>
      <c r="E67" s="5" t="inlineStr">
        <is>
          <t>Papua New Guinea</t>
        </is>
      </c>
      <c r="F67" s="5" t="n">
        <v>2025</v>
      </c>
      <c r="G67" s="5" t="n">
        <v>4</v>
      </c>
      <c r="H67" s="7" t="n">
        <v>175509.89</v>
      </c>
      <c r="I67" s="5" t="inlineStr">
        <is>
          <t>AUD</t>
        </is>
      </c>
      <c r="J67" s="8">
        <f>IF($I67="AUD",Assumptions!$B$2,Assumptions!$B$3)</f>
        <v/>
      </c>
      <c r="K67" s="9">
        <f>$G67*$H67*$J67</f>
        <v/>
      </c>
      <c r="L67" s="9">
        <f>$K67*Assumptions!$B$4</f>
        <v/>
      </c>
      <c r="M67" s="9">
        <f>RawTx[[#This Row],[Value USD]]/RawTx[[#This Row],[Quantity]]</f>
        <v/>
      </c>
      <c r="N67" s="9">
        <f>RawTx[[#This Row],[Value IDR]]/RawTx[[#This Row],[Quantity]]</f>
        <v/>
      </c>
      <c r="O67" s="4" t="inlineStr">
        <is>
          <t>HPT CAT 785D HAUL TRUCK TRAY C/W ACCESSORIESPO REFERENCE : 4501708956,</t>
        </is>
      </c>
      <c r="P67" s="5" t="inlineStr">
        <is>
          <t>Caterpillar</t>
        </is>
      </c>
      <c r="Q67" s="13" t="inlineStr">
        <is>
          <t>785D</t>
        </is>
      </c>
      <c r="R67" s="7" t="n">
        <v>89396</v>
      </c>
      <c r="S67" s="7">
        <f>IFERROR($R67/$G67,"")</f>
        <v/>
      </c>
      <c r="T67" s="7" t="n">
        <v>0</v>
      </c>
      <c r="U67" s="7" t="n">
        <v>0</v>
      </c>
      <c r="V67" s="7" t="n">
        <v>1073800</v>
      </c>
      <c r="W67" s="9">
        <f>IF(ISNUMBER($T67),$T67*$J67*Assumptions!$B$4,"NA")</f>
        <v/>
      </c>
      <c r="X67" s="9">
        <f>IF(ISNUMBER($U67),$U67*$J67*Assumptions!$B$4,"NA")</f>
        <v/>
      </c>
      <c r="Y67" s="9">
        <f>IF(ISNUMBER($V67),$V67*$J67*Assumptions!$B$4,"NA")</f>
        <v/>
      </c>
    </row>
    <row r="68">
      <c r="A68" s="5" t="inlineStr">
        <is>
          <t>Austin Engineering</t>
        </is>
      </c>
      <c r="B68" s="11" t="inlineStr">
        <is>
          <t>Dump bodies/truck trays</t>
        </is>
      </c>
      <c r="C68" s="5" t="inlineStr">
        <is>
          <t>Lihir Gold Limited</t>
        </is>
      </c>
      <c r="D68" s="5" t="inlineStr">
        <is>
          <t>Owner</t>
        </is>
      </c>
      <c r="E68" s="5" t="inlineStr">
        <is>
          <t>Papua New Guinea</t>
        </is>
      </c>
      <c r="F68" s="5" t="n">
        <v>2025</v>
      </c>
      <c r="G68" s="5" t="n">
        <v>4</v>
      </c>
      <c r="H68" s="7" t="n">
        <v>174688.44</v>
      </c>
      <c r="I68" s="5" t="inlineStr">
        <is>
          <t>AUD</t>
        </is>
      </c>
      <c r="J68" s="8">
        <f>IF($I68="AUD",Assumptions!$B$2,Assumptions!$B$3)</f>
        <v/>
      </c>
      <c r="K68" s="9">
        <f>$G68*$H68*$J68</f>
        <v/>
      </c>
      <c r="L68" s="9">
        <f>$K68*Assumptions!$B$4</f>
        <v/>
      </c>
      <c r="M68" s="9">
        <f>RawTx[[#This Row],[Value USD]]/RawTx[[#This Row],[Quantity]]</f>
        <v/>
      </c>
      <c r="N68" s="9">
        <f>RawTx[[#This Row],[Value IDR]]/RawTx[[#This Row],[Quantity]]</f>
        <v/>
      </c>
      <c r="O68" s="4" t="inlineStr">
        <is>
          <t>HPT CAT 785D HAUL TRUCK TRAY C/W ACCESSORIES</t>
        </is>
      </c>
      <c r="P68" s="5" t="inlineStr">
        <is>
          <t>Caterpillar</t>
        </is>
      </c>
      <c r="Q68" s="13" t="inlineStr">
        <is>
          <t>785D</t>
        </is>
      </c>
      <c r="R68" s="7" t="n">
        <v>89396</v>
      </c>
      <c r="S68" s="7">
        <f>IFERROR($R68/$G68,"")</f>
        <v/>
      </c>
      <c r="T68" s="7" t="n">
        <v>21476</v>
      </c>
      <c r="U68" s="7" t="n">
        <v>2245.32</v>
      </c>
      <c r="V68" s="7" t="n">
        <v>1073800</v>
      </c>
      <c r="W68" s="9">
        <f>IF(ISNUMBER($T68),$T68*$J68*Assumptions!$B$4,"NA")</f>
        <v/>
      </c>
      <c r="X68" s="9">
        <f>IF(ISNUMBER($U68),$U68*$J68*Assumptions!$B$4,"NA")</f>
        <v/>
      </c>
      <c r="Y68" s="9">
        <f>IF(ISNUMBER($V68),$V68*$J68*Assumptions!$B$4,"NA")</f>
        <v/>
      </c>
    </row>
    <row r="69">
      <c r="A69" s="5" t="inlineStr">
        <is>
          <t>Austin Engineering</t>
        </is>
      </c>
      <c r="B69" s="11" t="inlineStr">
        <is>
          <t>Dump bodies/truck trays</t>
        </is>
      </c>
      <c r="C69" s="5" t="inlineStr">
        <is>
          <t>Lihir Gold Limited</t>
        </is>
      </c>
      <c r="D69" s="5" t="inlineStr">
        <is>
          <t>Owner</t>
        </is>
      </c>
      <c r="E69" s="5" t="inlineStr">
        <is>
          <t>Papua New Guinea</t>
        </is>
      </c>
      <c r="F69" s="5" t="n">
        <v>2025</v>
      </c>
      <c r="G69" s="5" t="n">
        <v>3</v>
      </c>
      <c r="H69" s="7" t="n">
        <v>170128.27</v>
      </c>
      <c r="I69" s="5" t="inlineStr">
        <is>
          <t>AUD</t>
        </is>
      </c>
      <c r="J69" s="8">
        <f>IF($I69="AUD",Assumptions!$B$2,Assumptions!$B$3)</f>
        <v/>
      </c>
      <c r="K69" s="9">
        <f>$G69*$H69*$J69</f>
        <v/>
      </c>
      <c r="L69" s="9">
        <f>$K69*Assumptions!$B$4</f>
        <v/>
      </c>
      <c r="M69" s="9">
        <f>RawTx[[#This Row],[Value USD]]/RawTx[[#This Row],[Quantity]]</f>
        <v/>
      </c>
      <c r="N69" s="9">
        <f>RawTx[[#This Row],[Value IDR]]/RawTx[[#This Row],[Quantity]]</f>
        <v/>
      </c>
      <c r="O69" s="4" t="inlineStr">
        <is>
          <t>HPT CAT 785D HAUL TRUCK TRAY C/W ACCESSORIESPO. REFERENCE :4501659842</t>
        </is>
      </c>
      <c r="P69" s="5" t="inlineStr">
        <is>
          <t>Caterpillar</t>
        </is>
      </c>
      <c r="Q69" s="13" t="inlineStr">
        <is>
          <t>785D</t>
        </is>
      </c>
      <c r="R69" s="7" t="n">
        <v>67047</v>
      </c>
      <c r="S69" s="7">
        <f>IFERROR($R69/$G69,"")</f>
        <v/>
      </c>
      <c r="T69" s="7" t="n">
        <v>0</v>
      </c>
      <c r="U69" s="7" t="n">
        <v>0</v>
      </c>
      <c r="V69" s="7" t="n">
        <v>792168</v>
      </c>
      <c r="W69" s="9">
        <f>IF(ISNUMBER($T69),$T69*$J69*Assumptions!$B$4,"NA")</f>
        <v/>
      </c>
      <c r="X69" s="9">
        <f>IF(ISNUMBER($U69),$U69*$J69*Assumptions!$B$4,"NA")</f>
        <v/>
      </c>
      <c r="Y69" s="9">
        <f>IF(ISNUMBER($V69),$V69*$J69*Assumptions!$B$4,"NA")</f>
        <v/>
      </c>
    </row>
    <row r="70">
      <c r="A70" s="5" t="inlineStr">
        <is>
          <t>Austin Engineering</t>
        </is>
      </c>
      <c r="B70" s="11" t="inlineStr">
        <is>
          <t>Dump bodies/truck trays</t>
        </is>
      </c>
      <c r="C70" s="5" t="inlineStr">
        <is>
          <t>Lihir Gold Limited</t>
        </is>
      </c>
      <c r="D70" s="5" t="inlineStr">
        <is>
          <t>Owner</t>
        </is>
      </c>
      <c r="E70" s="5" t="inlineStr">
        <is>
          <t>Papua New Guinea</t>
        </is>
      </c>
      <c r="F70" s="5" t="n">
        <v>2025</v>
      </c>
      <c r="G70" s="5" t="n">
        <v>1</v>
      </c>
      <c r="H70" s="7" t="n">
        <v>172959.27</v>
      </c>
      <c r="I70" s="5" t="inlineStr">
        <is>
          <t>AUD</t>
        </is>
      </c>
      <c r="J70" s="8">
        <f>IF($I70="AUD",Assumptions!$B$2,Assumptions!$B$3)</f>
        <v/>
      </c>
      <c r="K70" s="9">
        <f>$G70*$H70*$J70</f>
        <v/>
      </c>
      <c r="L70" s="9">
        <f>$K70*Assumptions!$B$4</f>
        <v/>
      </c>
      <c r="M70" s="9">
        <f>RawTx[[#This Row],[Value USD]]/RawTx[[#This Row],[Quantity]]</f>
        <v/>
      </c>
      <c r="N70" s="9">
        <f>RawTx[[#This Row],[Value IDR]]/RawTx[[#This Row],[Quantity]]</f>
        <v/>
      </c>
      <c r="O70" s="4" t="inlineStr">
        <is>
          <t>HPT CAT 785D HAUL TRUCK TRAY C/W ACCESSORIESPO. REFERENCE :4501708956</t>
        </is>
      </c>
      <c r="P70" s="5" t="inlineStr">
        <is>
          <t>Caterpillar</t>
        </is>
      </c>
      <c r="Q70" s="13" t="inlineStr">
        <is>
          <t>785D</t>
        </is>
      </c>
      <c r="R70" s="7" t="n">
        <v>22349</v>
      </c>
      <c r="S70" s="7">
        <f>IFERROR($R70/$G70,"")</f>
        <v/>
      </c>
      <c r="T70" s="7" t="n">
        <v>0</v>
      </c>
      <c r="U70" s="7" t="n">
        <v>0</v>
      </c>
      <c r="V70" s="7" t="n">
        <v>268450</v>
      </c>
      <c r="W70" s="9">
        <f>IF(ISNUMBER($T70),$T70*$J70*Assumptions!$B$4,"NA")</f>
        <v/>
      </c>
      <c r="X70" s="9">
        <f>IF(ISNUMBER($U70),$U70*$J70*Assumptions!$B$4,"NA")</f>
        <v/>
      </c>
      <c r="Y70" s="9">
        <f>IF(ISNUMBER($V70),$V70*$J70*Assumptions!$B$4,"NA")</f>
        <v/>
      </c>
    </row>
    <row r="71">
      <c r="A71" s="5" t="inlineStr">
        <is>
          <t>Austin Engineering</t>
        </is>
      </c>
      <c r="B71" s="11" t="inlineStr">
        <is>
          <t>Dump bodies/truck trays</t>
        </is>
      </c>
      <c r="C71" s="5" t="inlineStr">
        <is>
          <t>Lihir Gold Limited</t>
        </is>
      </c>
      <c r="D71" s="5" t="inlineStr">
        <is>
          <t>Owner</t>
        </is>
      </c>
      <c r="E71" s="5" t="inlineStr">
        <is>
          <t>Papua New Guinea</t>
        </is>
      </c>
      <c r="F71" s="5" t="n">
        <v>2025</v>
      </c>
      <c r="G71" s="5" t="n">
        <v>5</v>
      </c>
      <c r="H71" s="7" t="n">
        <v>216208.04</v>
      </c>
      <c r="I71" s="5" t="inlineStr">
        <is>
          <t>AUD</t>
        </is>
      </c>
      <c r="J71" s="8">
        <f>IF($I71="AUD",Assumptions!$B$2,Assumptions!$B$3)</f>
        <v/>
      </c>
      <c r="K71" s="9">
        <f>$G71*$H71*$J71</f>
        <v/>
      </c>
      <c r="L71" s="9">
        <f>$K71*Assumptions!$B$4</f>
        <v/>
      </c>
      <c r="M71" s="9">
        <f>RawTx[[#This Row],[Value USD]]/RawTx[[#This Row],[Quantity]]</f>
        <v/>
      </c>
      <c r="N71" s="9">
        <f>RawTx[[#This Row],[Value IDR]]/RawTx[[#This Row],[Quantity]]</f>
        <v/>
      </c>
      <c r="O71" s="4" t="inlineStr">
        <is>
          <t>HPT CAT 785D HAUL TRUCK TRAY C/W ACCESSORIES PO REFERENCE: 4501599704</t>
        </is>
      </c>
      <c r="P71" s="5" t="inlineStr">
        <is>
          <t>Caterpillar</t>
        </is>
      </c>
      <c r="Q71" s="13" t="inlineStr">
        <is>
          <t>785D</t>
        </is>
      </c>
      <c r="R71" s="7" t="n">
        <v>111100</v>
      </c>
      <c r="S71" s="7">
        <f>IFERROR($R71/$G71,"")</f>
        <v/>
      </c>
      <c r="T71" s="7" t="n">
        <v>0</v>
      </c>
      <c r="U71" s="7" t="n">
        <v>0</v>
      </c>
      <c r="V71" s="7" t="n">
        <v>1742769.6</v>
      </c>
      <c r="W71" s="9">
        <f>IF(ISNUMBER($T71),$T71*$J71*Assumptions!$B$4,"NA")</f>
        <v/>
      </c>
      <c r="X71" s="9">
        <f>IF(ISNUMBER($U71),$U71*$J71*Assumptions!$B$4,"NA")</f>
        <v/>
      </c>
      <c r="Y71" s="9">
        <f>IF(ISNUMBER($V71),$V71*$J71*Assumptions!$B$4,"NA")</f>
        <v/>
      </c>
    </row>
    <row r="72">
      <c r="A72" s="5" t="inlineStr">
        <is>
          <t>Austin Engineering</t>
        </is>
      </c>
      <c r="B72" s="11" t="inlineStr">
        <is>
          <t>Dump bodies/truck trays</t>
        </is>
      </c>
      <c r="C72" s="5" t="inlineStr">
        <is>
          <t>Austin Ingenieros Chile Ltda</t>
        </is>
      </c>
      <c r="D72" s="11" t="inlineStr">
        <is>
          <t>Parent/Affiliate</t>
        </is>
      </c>
      <c r="E72" s="5" t="inlineStr">
        <is>
          <t>Chile</t>
        </is>
      </c>
      <c r="F72" s="5" t="n">
        <v>2025</v>
      </c>
      <c r="G72" s="5" t="n">
        <v>4</v>
      </c>
      <c r="H72" s="7" t="n">
        <v>89716</v>
      </c>
      <c r="I72" s="5" t="inlineStr">
        <is>
          <t>USD</t>
        </is>
      </c>
      <c r="J72" s="8">
        <f>IF($I72="AUD",Assumptions!$B$2,Assumptions!$B$3)</f>
        <v/>
      </c>
      <c r="K72" s="9">
        <f>$G72*$H72*$J72</f>
        <v/>
      </c>
      <c r="L72" s="9">
        <f>$K72*Assumptions!$B$4</f>
        <v/>
      </c>
      <c r="M72" s="9">
        <f>RawTx[[#This Row],[Value USD]]/RawTx[[#This Row],[Quantity]]</f>
        <v/>
      </c>
      <c r="N72" s="9">
        <f>RawTx[[#This Row],[Value IDR]]/RawTx[[#This Row],[Quantity]]</f>
        <v/>
      </c>
      <c r="O72" s="4" t="inlineStr">
        <is>
          <t>CAT798 MP FLOOR</t>
        </is>
      </c>
      <c r="P72" s="5" t="inlineStr">
        <is>
          <t>Caterpillar</t>
        </is>
      </c>
      <c r="Q72" s="13" t="inlineStr">
        <is>
          <t>798</t>
        </is>
      </c>
      <c r="R72" s="7" t="n">
        <v>119120</v>
      </c>
      <c r="S72" s="7">
        <f>IFERROR($R72/$G72,"")</f>
        <v/>
      </c>
      <c r="T72" s="7" t="inlineStr">
        <is>
          <t>NA</t>
        </is>
      </c>
      <c r="U72" s="7" t="inlineStr">
        <is>
          <t>NA</t>
        </is>
      </c>
      <c r="V72" s="7" t="inlineStr">
        <is>
          <t>NA</t>
        </is>
      </c>
      <c r="W72" s="9">
        <f>IF(ISNUMBER($T72),$T72*$J72*Assumptions!$B$4,"NA")</f>
        <v/>
      </c>
      <c r="X72" s="9">
        <f>IF(ISNUMBER($U72),$U72*$J72*Assumptions!$B$4,"NA")</f>
        <v/>
      </c>
      <c r="Y72" s="9">
        <f>IF(ISNUMBER($V72),$V72*$J72*Assumptions!$B$4,"NA")</f>
        <v/>
      </c>
    </row>
    <row r="73">
      <c r="A73" s="5" t="inlineStr">
        <is>
          <t>Austin Engineering</t>
        </is>
      </c>
      <c r="B73" s="11" t="inlineStr">
        <is>
          <t>Dump bodies/truck trays</t>
        </is>
      </c>
      <c r="C73" s="5" t="inlineStr">
        <is>
          <t>Austin Ingenieros Chile Ltda</t>
        </is>
      </c>
      <c r="D73" s="11" t="inlineStr">
        <is>
          <t>Parent/Affiliate</t>
        </is>
      </c>
      <c r="E73" s="5" t="inlineStr">
        <is>
          <t>Chile</t>
        </is>
      </c>
      <c r="F73" s="5" t="n">
        <v>2025</v>
      </c>
      <c r="G73" s="5" t="n">
        <v>5</v>
      </c>
      <c r="H73" s="7" t="n">
        <v>195191</v>
      </c>
      <c r="I73" s="5" t="inlineStr">
        <is>
          <t>USD</t>
        </is>
      </c>
      <c r="J73" s="8">
        <f>IF($I73="AUD",Assumptions!$B$2,Assumptions!$B$3)</f>
        <v/>
      </c>
      <c r="K73" s="9">
        <f>$G73*$H73*$J73</f>
        <v/>
      </c>
      <c r="L73" s="9">
        <f>$K73*Assumptions!$B$4</f>
        <v/>
      </c>
      <c r="M73" s="9">
        <f>RawTx[[#This Row],[Value USD]]/RawTx[[#This Row],[Quantity]]</f>
        <v/>
      </c>
      <c r="N73" s="9">
        <f>RawTx[[#This Row],[Value IDR]]/RawTx[[#This Row],[Quantity]]</f>
        <v/>
      </c>
      <c r="O73" s="4" t="inlineStr">
        <is>
          <t>CATERPILLAR TRUCK BODY CAT798 MP UNIT#11-#15 C/W ACCESSORIES</t>
        </is>
      </c>
      <c r="P73" s="5" t="inlineStr">
        <is>
          <t>Caterpillar</t>
        </is>
      </c>
      <c r="Q73" s="13" t="inlineStr">
        <is>
          <t>798</t>
        </is>
      </c>
      <c r="R73" s="7" t="n">
        <v>228420</v>
      </c>
      <c r="S73" s="7">
        <f>IFERROR($R73/$G73,"")</f>
        <v/>
      </c>
      <c r="T73" s="7" t="inlineStr">
        <is>
          <t>NA</t>
        </is>
      </c>
      <c r="U73" s="7" t="inlineStr">
        <is>
          <t>NA</t>
        </is>
      </c>
      <c r="V73" s="7" t="inlineStr">
        <is>
          <t>NA</t>
        </is>
      </c>
      <c r="W73" s="9">
        <f>IF(ISNUMBER($T73),$T73*$J73*Assumptions!$B$4,"NA")</f>
        <v/>
      </c>
      <c r="X73" s="9">
        <f>IF(ISNUMBER($U73),$U73*$J73*Assumptions!$B$4,"NA")</f>
        <v/>
      </c>
      <c r="Y73" s="9">
        <f>IF(ISNUMBER($V73),$V73*$J73*Assumptions!$B$4,"NA")</f>
        <v/>
      </c>
    </row>
    <row r="74">
      <c r="A74" s="5" t="inlineStr">
        <is>
          <t>Austin Engineering</t>
        </is>
      </c>
      <c r="B74" s="11" t="inlineStr">
        <is>
          <t>Dump bodies/truck trays</t>
        </is>
      </c>
      <c r="C74" s="5" t="inlineStr">
        <is>
          <t>Austin Ingenieros Chile Ltda</t>
        </is>
      </c>
      <c r="D74" s="11" t="inlineStr">
        <is>
          <t>Parent/Affiliate</t>
        </is>
      </c>
      <c r="E74" s="5" t="inlineStr">
        <is>
          <t>Chile</t>
        </is>
      </c>
      <c r="F74" s="5" t="n">
        <v>2025</v>
      </c>
      <c r="G74" s="5" t="n">
        <v>8</v>
      </c>
      <c r="H74" s="7" t="n">
        <v>195191</v>
      </c>
      <c r="I74" s="5" t="inlineStr">
        <is>
          <t>USD</t>
        </is>
      </c>
      <c r="J74" s="8">
        <f>IF($I74="AUD",Assumptions!$B$2,Assumptions!$B$3)</f>
        <v/>
      </c>
      <c r="K74" s="9">
        <f>$G74*$H74*$J74</f>
        <v/>
      </c>
      <c r="L74" s="9">
        <f>$K74*Assumptions!$B$4</f>
        <v/>
      </c>
      <c r="M74" s="9">
        <f>RawTx[[#This Row],[Value USD]]/RawTx[[#This Row],[Quantity]]</f>
        <v/>
      </c>
      <c r="N74" s="9">
        <f>RawTx[[#This Row],[Value IDR]]/RawTx[[#This Row],[Quantity]]</f>
        <v/>
      </c>
      <c r="O74" s="4" t="inlineStr">
        <is>
          <t>CATERPILLAR TRUCK BODY CAT798 MP UNIT#1-#8 C/W ACCESSORIES</t>
        </is>
      </c>
      <c r="P74" s="5" t="inlineStr">
        <is>
          <t>Caterpillar</t>
        </is>
      </c>
      <c r="Q74" s="13" t="inlineStr">
        <is>
          <t>798</t>
        </is>
      </c>
      <c r="R74" s="7" t="n">
        <v>360000</v>
      </c>
      <c r="S74" s="7">
        <f>IFERROR($R74/$G74,"")</f>
        <v/>
      </c>
      <c r="T74" s="7" t="inlineStr">
        <is>
          <t>NA</t>
        </is>
      </c>
      <c r="U74" s="7" t="inlineStr">
        <is>
          <t>NA</t>
        </is>
      </c>
      <c r="V74" s="7" t="inlineStr">
        <is>
          <t>NA</t>
        </is>
      </c>
      <c r="W74" s="9">
        <f>IF(ISNUMBER($T74),$T74*$J74*Assumptions!$B$4,"NA")</f>
        <v/>
      </c>
      <c r="X74" s="9">
        <f>IF(ISNUMBER($U74),$U74*$J74*Assumptions!$B$4,"NA")</f>
        <v/>
      </c>
      <c r="Y74" s="9">
        <f>IF(ISNUMBER($V74),$V74*$J74*Assumptions!$B$4,"NA")</f>
        <v/>
      </c>
    </row>
    <row r="75">
      <c r="A75" s="5" t="inlineStr">
        <is>
          <t>Austin Engineering</t>
        </is>
      </c>
      <c r="B75" s="11" t="inlineStr">
        <is>
          <t>Dump bodies/truck trays</t>
        </is>
      </c>
      <c r="C75" s="5" t="inlineStr">
        <is>
          <t>Austin Ingenieros Chile Ltda</t>
        </is>
      </c>
      <c r="D75" s="11" t="inlineStr">
        <is>
          <t>Parent/Affiliate</t>
        </is>
      </c>
      <c r="E75" s="5" t="inlineStr">
        <is>
          <t>Chile</t>
        </is>
      </c>
      <c r="F75" s="5" t="n">
        <v>2025</v>
      </c>
      <c r="G75" s="5" t="n">
        <v>2</v>
      </c>
      <c r="H75" s="7" t="n">
        <v>195191</v>
      </c>
      <c r="I75" s="5" t="inlineStr">
        <is>
          <t>USD</t>
        </is>
      </c>
      <c r="J75" s="8">
        <f>IF($I75="AUD",Assumptions!$B$2,Assumptions!$B$3)</f>
        <v/>
      </c>
      <c r="K75" s="9">
        <f>$G75*$H75*$J75</f>
        <v/>
      </c>
      <c r="L75" s="9">
        <f>$K75*Assumptions!$B$4</f>
        <v/>
      </c>
      <c r="M75" s="9">
        <f>RawTx[[#This Row],[Value USD]]/RawTx[[#This Row],[Quantity]]</f>
        <v/>
      </c>
      <c r="N75" s="9">
        <f>RawTx[[#This Row],[Value IDR]]/RawTx[[#This Row],[Quantity]]</f>
        <v/>
      </c>
      <c r="O75" s="4" t="inlineStr">
        <is>
          <t>CATERPILLAR TRUCK BODY CAT798 MP UNIT#9-#10 C/W ACCESSORIES</t>
        </is>
      </c>
      <c r="P75" s="5" t="inlineStr">
        <is>
          <t>Caterpillar</t>
        </is>
      </c>
      <c r="Q75" s="13" t="inlineStr">
        <is>
          <t>798</t>
        </is>
      </c>
      <c r="R75" s="7" t="n">
        <v>90000</v>
      </c>
      <c r="S75" s="7">
        <f>IFERROR($R75/$G75,"")</f>
        <v/>
      </c>
      <c r="T75" s="7" t="inlineStr">
        <is>
          <t>NA</t>
        </is>
      </c>
      <c r="U75" s="7" t="inlineStr">
        <is>
          <t>NA</t>
        </is>
      </c>
      <c r="V75" s="7" t="inlineStr">
        <is>
          <t>NA</t>
        </is>
      </c>
      <c r="W75" s="9">
        <f>IF(ISNUMBER($T75),$T75*$J75*Assumptions!$B$4,"NA")</f>
        <v/>
      </c>
      <c r="X75" s="9">
        <f>IF(ISNUMBER($U75),$U75*$J75*Assumptions!$B$4,"NA")</f>
        <v/>
      </c>
      <c r="Y75" s="9">
        <f>IF(ISNUMBER($V75),$V75*$J75*Assumptions!$B$4,"NA")</f>
        <v/>
      </c>
    </row>
    <row r="76">
      <c r="A76" s="5" t="inlineStr">
        <is>
          <t>Austin Engineering</t>
        </is>
      </c>
      <c r="B76" s="11" t="inlineStr">
        <is>
          <t>Dump bodies/truck trays</t>
        </is>
      </c>
      <c r="C76" s="5" t="inlineStr">
        <is>
          <t>Kibali Gold Mines SA KGM</t>
        </is>
      </c>
      <c r="D76" s="5" t="inlineStr">
        <is>
          <t>Owner</t>
        </is>
      </c>
      <c r="E76" s="5" t="inlineStr">
        <is>
          <t>Congo, Dem. Rep.</t>
        </is>
      </c>
      <c r="F76" s="5" t="n">
        <v>2025</v>
      </c>
      <c r="G76" s="5" t="n">
        <v>6</v>
      </c>
      <c r="H76" s="7" t="n">
        <v>150828.33</v>
      </c>
      <c r="I76" s="5" t="inlineStr">
        <is>
          <t>USD</t>
        </is>
      </c>
      <c r="J76" s="8">
        <f>IF($I76="AUD",Assumptions!$B$2,Assumptions!$B$3)</f>
        <v/>
      </c>
      <c r="K76" s="9">
        <f>$G76*$H76*$J76</f>
        <v/>
      </c>
      <c r="L76" s="9">
        <f>$K76*Assumptions!$B$4</f>
        <v/>
      </c>
      <c r="M76" s="9">
        <f>RawTx[[#This Row],[Value USD]]/RawTx[[#This Row],[Quantity]]</f>
        <v/>
      </c>
      <c r="N76" s="9">
        <f>RawTx[[#This Row],[Value IDR]]/RawTx[[#This Row],[Quantity]]</f>
        <v/>
      </c>
      <c r="O76" s="4" t="inlineStr">
        <is>
          <t>CAT 777E – ULTIMA BODY SG 1.9 C/W ACCESSORIES</t>
        </is>
      </c>
      <c r="P76" s="5" t="inlineStr">
        <is>
          <t>Caterpillar</t>
        </is>
      </c>
      <c r="Q76" s="13" t="inlineStr">
        <is>
          <t>777E</t>
        </is>
      </c>
      <c r="R76" s="7" t="n">
        <v>94020</v>
      </c>
      <c r="S76" s="7">
        <f>IFERROR($R76/$G76,"")</f>
        <v/>
      </c>
      <c r="T76" s="7" t="inlineStr">
        <is>
          <t>NA</t>
        </is>
      </c>
      <c r="U76" s="7" t="inlineStr">
        <is>
          <t>NA</t>
        </is>
      </c>
      <c r="V76" s="7" t="inlineStr">
        <is>
          <t>NA</t>
        </is>
      </c>
      <c r="W76" s="9">
        <f>IF(ISNUMBER($T76),$T76*$J76*Assumptions!$B$4,"NA")</f>
        <v/>
      </c>
      <c r="X76" s="9">
        <f>IF(ISNUMBER($U76),$U76*$J76*Assumptions!$B$4,"NA")</f>
        <v/>
      </c>
      <c r="Y76" s="9">
        <f>IF(ISNUMBER($V76),$V76*$J76*Assumptions!$B$4,"NA")</f>
        <v/>
      </c>
    </row>
    <row r="77">
      <c r="A77" s="5" t="inlineStr">
        <is>
          <t>Austin Engineering</t>
        </is>
      </c>
      <c r="B77" s="11" t="inlineStr">
        <is>
          <t>Dump bodies/truck trays</t>
        </is>
      </c>
      <c r="C77" s="11" t="inlineStr">
        <is>
          <t>Anglo American</t>
        </is>
      </c>
      <c r="D77" s="5" t="inlineStr">
        <is>
          <t>Owner</t>
        </is>
      </c>
      <c r="E77" s="5" t="inlineStr">
        <is>
          <t>Australia</t>
        </is>
      </c>
      <c r="F77" s="5" t="n">
        <v>2025</v>
      </c>
      <c r="G77" s="5" t="n">
        <v>15</v>
      </c>
      <c r="H77" s="7" t="n">
        <v>234648.99</v>
      </c>
      <c r="I77" s="5" t="inlineStr">
        <is>
          <t>AUD</t>
        </is>
      </c>
      <c r="J77" s="8">
        <f>IF($I77="AUD",Assumptions!$B$2,Assumptions!$B$3)</f>
        <v/>
      </c>
      <c r="K77" s="9">
        <f>$G77*$H77*$J77</f>
        <v/>
      </c>
      <c r="L77" s="9">
        <f>$K77*Assumptions!$B$4</f>
        <v/>
      </c>
      <c r="M77" s="9">
        <f>RawTx[[#This Row],[Value USD]]/RawTx[[#This Row],[Quantity]]</f>
        <v/>
      </c>
      <c r="N77" s="9">
        <f>RawTx[[#This Row],[Value IDR]]/RawTx[[#This Row],[Quantity]]</f>
        <v/>
      </c>
      <c r="O77" s="4" t="inlineStr">
        <is>
          <t>KOMATSU 830E-1AC HPT MAX STD C/W ACCESSORIES PO REFERENCE : 4503551310</t>
        </is>
      </c>
      <c r="P77" s="5" t="inlineStr">
        <is>
          <t>Komatsu</t>
        </is>
      </c>
      <c r="Q77" s="13" t="inlineStr">
        <is>
          <t>830E-1</t>
        </is>
      </c>
      <c r="R77" s="7" t="n">
        <v>498810</v>
      </c>
      <c r="S77" s="7">
        <f>IFERROR($R77/$G77,"")</f>
        <v/>
      </c>
      <c r="T77" s="7" t="n">
        <v>114986.4</v>
      </c>
      <c r="U77" s="7" t="n">
        <v>12021.83</v>
      </c>
      <c r="V77" s="7" t="n">
        <v>5749320</v>
      </c>
      <c r="W77" s="9">
        <f>IF(ISNUMBER($T77),$T77*$J77*Assumptions!$B$4,"NA")</f>
        <v/>
      </c>
      <c r="X77" s="9">
        <f>IF(ISNUMBER($U77),$U77*$J77*Assumptions!$B$4,"NA")</f>
        <v/>
      </c>
      <c r="Y77" s="9">
        <f>IF(ISNUMBER($V77),$V77*$J77*Assumptions!$B$4,"NA")</f>
        <v/>
      </c>
    </row>
    <row r="78">
      <c r="A78" s="5" t="inlineStr">
        <is>
          <t>Austin Engineering</t>
        </is>
      </c>
      <c r="B78" s="11" t="inlineStr">
        <is>
          <t>Dump bodies/truck trays</t>
        </is>
      </c>
      <c r="C78" s="5" t="inlineStr">
        <is>
          <t>Tata Steel Limited</t>
        </is>
      </c>
      <c r="D78" s="5" t="inlineStr">
        <is>
          <t>Owner</t>
        </is>
      </c>
      <c r="E78" s="5" t="inlineStr">
        <is>
          <t>India</t>
        </is>
      </c>
      <c r="F78" s="5" t="n">
        <v>2025</v>
      </c>
      <c r="G78" s="5" t="n">
        <v>4</v>
      </c>
      <c r="H78" s="7" t="n">
        <v>100750.5</v>
      </c>
      <c r="I78" s="5" t="inlineStr">
        <is>
          <t>USD</t>
        </is>
      </c>
      <c r="J78" s="8">
        <f>IF($I78="AUD",Assumptions!$B$2,Assumptions!$B$3)</f>
        <v/>
      </c>
      <c r="K78" s="9">
        <f>$G78*$H78*$J78</f>
        <v/>
      </c>
      <c r="L78" s="9">
        <f>$K78*Assumptions!$B$4</f>
        <v/>
      </c>
      <c r="M78" s="9">
        <f>RawTx[[#This Row],[Value USD]]/RawTx[[#This Row],[Quantity]]</f>
        <v/>
      </c>
      <c r="N78" s="9">
        <f>RawTx[[#This Row],[Value IDR]]/RawTx[[#This Row],[Quantity]]</f>
        <v/>
      </c>
      <c r="O78" s="4" t="inlineStr">
        <is>
          <t>TATA STEEL KOMATSU HD785-7 ULTIMA ULTIMA TRUCK BODY C/W ACCESSORIESP0</t>
        </is>
      </c>
      <c r="P78" s="5" t="inlineStr">
        <is>
          <t>Komatsu</t>
        </is>
      </c>
      <c r="Q78" s="13" t="inlineStr">
        <is>
          <t>HD785-7</t>
        </is>
      </c>
      <c r="R78" s="7" t="n">
        <v>55796</v>
      </c>
      <c r="S78" s="7">
        <f>IFERROR($R78/$G78,"")</f>
        <v/>
      </c>
      <c r="T78" s="7" t="n">
        <v>5600</v>
      </c>
      <c r="U78" s="7" t="n">
        <v>0</v>
      </c>
      <c r="V78" s="7" t="n">
        <v>403002</v>
      </c>
      <c r="W78" s="9">
        <f>IF(ISNUMBER($T78),$T78*$J78*Assumptions!$B$4,"NA")</f>
        <v/>
      </c>
      <c r="X78" s="9">
        <f>IF(ISNUMBER($U78),$U78*$J78*Assumptions!$B$4,"NA")</f>
        <v/>
      </c>
      <c r="Y78" s="9">
        <f>IF(ISNUMBER($V78),$V78*$J78*Assumptions!$B$4,"NA")</f>
        <v/>
      </c>
    </row>
    <row r="79">
      <c r="A79" s="5" t="inlineStr">
        <is>
          <t>Austin Engineering</t>
        </is>
      </c>
      <c r="B79" s="11" t="inlineStr">
        <is>
          <t>Dump bodies/truck trays</t>
        </is>
      </c>
      <c r="C79" s="5" t="inlineStr">
        <is>
          <t>Tata Steel Limited</t>
        </is>
      </c>
      <c r="D79" s="5" t="inlineStr">
        <is>
          <t>Owner</t>
        </is>
      </c>
      <c r="E79" s="5" t="inlineStr">
        <is>
          <t>India</t>
        </is>
      </c>
      <c r="F79" s="5" t="n">
        <v>2025</v>
      </c>
      <c r="G79" s="5" t="n">
        <v>4</v>
      </c>
      <c r="H79" s="7" t="n">
        <v>100750.5</v>
      </c>
      <c r="I79" s="5" t="inlineStr">
        <is>
          <t>USD</t>
        </is>
      </c>
      <c r="J79" s="8">
        <f>IF($I79="AUD",Assumptions!$B$2,Assumptions!$B$3)</f>
        <v/>
      </c>
      <c r="K79" s="9">
        <f>$G79*$H79*$J79</f>
        <v/>
      </c>
      <c r="L79" s="9">
        <f>$K79*Assumptions!$B$4</f>
        <v/>
      </c>
      <c r="M79" s="9">
        <f>RawTx[[#This Row],[Value USD]]/RawTx[[#This Row],[Quantity]]</f>
        <v/>
      </c>
      <c r="N79" s="9">
        <f>RawTx[[#This Row],[Value IDR]]/RawTx[[#This Row],[Quantity]]</f>
        <v/>
      </c>
      <c r="O79" s="4" t="inlineStr">
        <is>
          <t>TATA STEEL KOMATSU HD785-7 ULTIMA ULTIMA TRUCK BODY C/W ACCESSORIESP0</t>
        </is>
      </c>
      <c r="P79" s="5" t="inlineStr">
        <is>
          <t>Komatsu</t>
        </is>
      </c>
      <c r="Q79" s="13" t="inlineStr">
        <is>
          <t>HD785-7</t>
        </is>
      </c>
      <c r="R79" s="7" t="n">
        <v>55796</v>
      </c>
      <c r="S79" s="7">
        <f>IFERROR($R79/$G79,"")</f>
        <v/>
      </c>
      <c r="T79" s="7" t="n">
        <v>5600</v>
      </c>
      <c r="U79" s="7" t="n">
        <v>0</v>
      </c>
      <c r="V79" s="7" t="n">
        <v>403002</v>
      </c>
      <c r="W79" s="9">
        <f>IF(ISNUMBER($T79),$T79*$J79*Assumptions!$B$4,"NA")</f>
        <v/>
      </c>
      <c r="X79" s="9">
        <f>IF(ISNUMBER($U79),$U79*$J79*Assumptions!$B$4,"NA")</f>
        <v/>
      </c>
      <c r="Y79" s="9">
        <f>IF(ISNUMBER($V79),$V79*$J79*Assumptions!$B$4,"NA")</f>
        <v/>
      </c>
    </row>
    <row r="80">
      <c r="A80" s="5" t="inlineStr">
        <is>
          <t>Austin Engineering</t>
        </is>
      </c>
      <c r="B80" s="11" t="inlineStr">
        <is>
          <t>Dump bodies/truck trays</t>
        </is>
      </c>
      <c r="C80" s="5" t="inlineStr">
        <is>
          <t>Tata Steel Limited</t>
        </is>
      </c>
      <c r="D80" s="5" t="inlineStr">
        <is>
          <t>Owner</t>
        </is>
      </c>
      <c r="E80" s="5" t="inlineStr">
        <is>
          <t>India</t>
        </is>
      </c>
      <c r="F80" s="5" t="n">
        <v>2025</v>
      </c>
      <c r="G80" s="5" t="n">
        <v>4</v>
      </c>
      <c r="H80" s="7" t="n">
        <v>100750.5</v>
      </c>
      <c r="I80" s="5" t="inlineStr">
        <is>
          <t>USD</t>
        </is>
      </c>
      <c r="J80" s="8">
        <f>IF($I80="AUD",Assumptions!$B$2,Assumptions!$B$3)</f>
        <v/>
      </c>
      <c r="K80" s="9">
        <f>$G80*$H80*$J80</f>
        <v/>
      </c>
      <c r="L80" s="9">
        <f>$K80*Assumptions!$B$4</f>
        <v/>
      </c>
      <c r="M80" s="9">
        <f>RawTx[[#This Row],[Value USD]]/RawTx[[#This Row],[Quantity]]</f>
        <v/>
      </c>
      <c r="N80" s="9">
        <f>RawTx[[#This Row],[Value IDR]]/RawTx[[#This Row],[Quantity]]</f>
        <v/>
      </c>
      <c r="O80" s="4" t="inlineStr">
        <is>
          <t>TATA STEEL KOMATSU HD785-7 ULTIMA ULTIMA TRUCK BODY C/W ACCESSORIESP0</t>
        </is>
      </c>
      <c r="P80" s="5" t="inlineStr">
        <is>
          <t>Komatsu</t>
        </is>
      </c>
      <c r="Q80" s="13" t="inlineStr">
        <is>
          <t>HD785-7</t>
        </is>
      </c>
      <c r="R80" s="7" t="n">
        <v>55796</v>
      </c>
      <c r="S80" s="7">
        <f>IFERROR($R80/$G80,"")</f>
        <v/>
      </c>
      <c r="T80" s="7" t="n">
        <v>5600</v>
      </c>
      <c r="U80" s="7" t="n">
        <v>0</v>
      </c>
      <c r="V80" s="7" t="n">
        <v>403002</v>
      </c>
      <c r="W80" s="9">
        <f>IF(ISNUMBER($T80),$T80*$J80*Assumptions!$B$4,"NA")</f>
        <v/>
      </c>
      <c r="X80" s="9">
        <f>IF(ISNUMBER($U80),$U80*$J80*Assumptions!$B$4,"NA")</f>
        <v/>
      </c>
      <c r="Y80" s="9">
        <f>IF(ISNUMBER($V80),$V80*$J80*Assumptions!$B$4,"NA")</f>
        <v/>
      </c>
    </row>
    <row r="81">
      <c r="A81" s="5" t="inlineStr">
        <is>
          <t>Austin Engineering</t>
        </is>
      </c>
      <c r="B81" s="11" t="inlineStr">
        <is>
          <t>Dump bodies/truck trays</t>
        </is>
      </c>
      <c r="C81" s="5" t="inlineStr">
        <is>
          <t>Tata Steel Limited</t>
        </is>
      </c>
      <c r="D81" s="5" t="inlineStr">
        <is>
          <t>Owner</t>
        </is>
      </c>
      <c r="E81" s="5" t="inlineStr">
        <is>
          <t>India</t>
        </is>
      </c>
      <c r="F81" s="5" t="n">
        <v>2025</v>
      </c>
      <c r="G81" s="5" t="n">
        <v>1</v>
      </c>
      <c r="H81" s="7" t="n">
        <v>100750.5</v>
      </c>
      <c r="I81" s="5" t="inlineStr">
        <is>
          <t>USD</t>
        </is>
      </c>
      <c r="J81" s="8">
        <f>IF($I81="AUD",Assumptions!$B$2,Assumptions!$B$3)</f>
        <v/>
      </c>
      <c r="K81" s="9">
        <f>$G81*$H81*$J81</f>
        <v/>
      </c>
      <c r="L81" s="9">
        <f>$K81*Assumptions!$B$4</f>
        <v/>
      </c>
      <c r="M81" s="9">
        <f>RawTx[[#This Row],[Value USD]]/RawTx[[#This Row],[Quantity]]</f>
        <v/>
      </c>
      <c r="N81" s="9">
        <f>RawTx[[#This Row],[Value IDR]]/RawTx[[#This Row],[Quantity]]</f>
        <v/>
      </c>
      <c r="O81" s="4" t="inlineStr">
        <is>
          <t>TATA STEEL KOMATSU HD785-7 ULTIMA ULTIMA TRUCK BODY C/W ACCESSORIESP0</t>
        </is>
      </c>
      <c r="P81" s="5" t="inlineStr">
        <is>
          <t>Komatsu</t>
        </is>
      </c>
      <c r="Q81" s="13" t="inlineStr">
        <is>
          <t>HD785-7</t>
        </is>
      </c>
      <c r="R81" s="7" t="n">
        <v>13949</v>
      </c>
      <c r="S81" s="7">
        <f>IFERROR($R81/$G81,"")</f>
        <v/>
      </c>
      <c r="T81" s="7" t="n">
        <v>1400</v>
      </c>
      <c r="U81" s="7" t="n">
        <v>0</v>
      </c>
      <c r="V81" s="7" t="n">
        <v>100750.5</v>
      </c>
      <c r="W81" s="9">
        <f>IF(ISNUMBER($T81),$T81*$J81*Assumptions!$B$4,"NA")</f>
        <v/>
      </c>
      <c r="X81" s="9">
        <f>IF(ISNUMBER($U81),$U81*$J81*Assumptions!$B$4,"NA")</f>
        <v/>
      </c>
      <c r="Y81" s="9">
        <f>IF(ISNUMBER($V81),$V81*$J81*Assumptions!$B$4,"NA")</f>
        <v/>
      </c>
    </row>
    <row r="82">
      <c r="A82" s="5" t="inlineStr">
        <is>
          <t>Austin Engineering</t>
        </is>
      </c>
      <c r="B82" s="11" t="inlineStr">
        <is>
          <t>Dump bodies/truck trays</t>
        </is>
      </c>
      <c r="C82" s="5" t="inlineStr">
        <is>
          <t>Tata Steel Limited</t>
        </is>
      </c>
      <c r="D82" s="5" t="inlineStr">
        <is>
          <t>Owner</t>
        </is>
      </c>
      <c r="E82" s="5" t="inlineStr">
        <is>
          <t>India</t>
        </is>
      </c>
      <c r="F82" s="5" t="n">
        <v>2025</v>
      </c>
      <c r="G82" s="5" t="n">
        <v>4</v>
      </c>
      <c r="H82" s="7" t="n">
        <v>100750.5</v>
      </c>
      <c r="I82" s="5" t="inlineStr">
        <is>
          <t>USD</t>
        </is>
      </c>
      <c r="J82" s="8">
        <f>IF($I82="AUD",Assumptions!$B$2,Assumptions!$B$3)</f>
        <v/>
      </c>
      <c r="K82" s="9">
        <f>$G82*$H82*$J82</f>
        <v/>
      </c>
      <c r="L82" s="9">
        <f>$K82*Assumptions!$B$4</f>
        <v/>
      </c>
      <c r="M82" s="9">
        <f>RawTx[[#This Row],[Value USD]]/RawTx[[#This Row],[Quantity]]</f>
        <v/>
      </c>
      <c r="N82" s="9">
        <f>RawTx[[#This Row],[Value IDR]]/RawTx[[#This Row],[Quantity]]</f>
        <v/>
      </c>
      <c r="O82" s="4" t="inlineStr">
        <is>
          <t>TATA STEEL KOMATSU HD785-7 ULTIMA ULTIMA TRUCK BODY C/W ACCESSORIESP0</t>
        </is>
      </c>
      <c r="P82" s="5" t="inlineStr">
        <is>
          <t>Komatsu</t>
        </is>
      </c>
      <c r="Q82" s="13" t="inlineStr">
        <is>
          <t>HD785-7</t>
        </is>
      </c>
      <c r="R82" s="7" t="n">
        <v>55796</v>
      </c>
      <c r="S82" s="7">
        <f>IFERROR($R82/$G82,"")</f>
        <v/>
      </c>
      <c r="T82" s="7" t="n">
        <v>5600</v>
      </c>
      <c r="U82" s="7" t="n">
        <v>0</v>
      </c>
      <c r="V82" s="7" t="n">
        <v>403002</v>
      </c>
      <c r="W82" s="9">
        <f>IF(ISNUMBER($T82),$T82*$J82*Assumptions!$B$4,"NA")</f>
        <v/>
      </c>
      <c r="X82" s="9">
        <f>IF(ISNUMBER($U82),$U82*$J82*Assumptions!$B$4,"NA")</f>
        <v/>
      </c>
      <c r="Y82" s="9">
        <f>IF(ISNUMBER($V82),$V82*$J82*Assumptions!$B$4,"NA")</f>
        <v/>
      </c>
    </row>
    <row r="83">
      <c r="A83" s="5" t="inlineStr">
        <is>
          <t>Austin Engineering</t>
        </is>
      </c>
      <c r="B83" s="11" t="inlineStr">
        <is>
          <t>Dump bodies/truck trays</t>
        </is>
      </c>
      <c r="C83" s="5" t="inlineStr">
        <is>
          <t>Tuprag Metal Madencilik</t>
        </is>
      </c>
      <c r="D83" s="5" t="inlineStr">
        <is>
          <t>Owner</t>
        </is>
      </c>
      <c r="E83" s="5" t="inlineStr">
        <is>
          <t>Turkey</t>
        </is>
      </c>
      <c r="F83" s="5" t="n">
        <v>2025</v>
      </c>
      <c r="G83" s="5" t="n">
        <v>4</v>
      </c>
      <c r="H83" s="7" t="n">
        <v>310283.35</v>
      </c>
      <c r="I83" s="5" t="inlineStr">
        <is>
          <t>USD</t>
        </is>
      </c>
      <c r="J83" s="8">
        <f>IF($I83="AUD",Assumptions!$B$2,Assumptions!$B$3)</f>
        <v/>
      </c>
      <c r="K83" s="9">
        <f>$G83*$H83*$J83</f>
        <v/>
      </c>
      <c r="L83" s="9">
        <f>$K83*Assumptions!$B$4</f>
        <v/>
      </c>
      <c r="M83" s="9">
        <f>RawTx[[#This Row],[Value USD]]/RawTx[[#This Row],[Quantity]]</f>
        <v/>
      </c>
      <c r="N83" s="9">
        <f>RawTx[[#This Row],[Value IDR]]/RawTx[[#This Row],[Quantity]]</f>
        <v/>
      </c>
      <c r="O83" s="4" t="inlineStr">
        <is>
          <t>CAT 785C AUSTIN LIGHTER TRUCK DUMP BODY C/W ACCESSORIES – 4 UNIT</t>
        </is>
      </c>
      <c r="P83" s="5" t="inlineStr">
        <is>
          <t>Caterpillar</t>
        </is>
      </c>
      <c r="Q83" s="13" t="inlineStr">
        <is>
          <t>785C</t>
        </is>
      </c>
      <c r="R83" s="7" t="n">
        <v>101748</v>
      </c>
      <c r="S83" s="7">
        <f>IFERROR($R83/$G83,"")</f>
        <v/>
      </c>
      <c r="T83" s="7" t="n">
        <v>0</v>
      </c>
      <c r="U83" s="7" t="n">
        <v>0</v>
      </c>
      <c r="V83" s="7" t="n">
        <v>1241133.4</v>
      </c>
      <c r="W83" s="9">
        <f>IF(ISNUMBER($T83),$T83*$J83*Assumptions!$B$4,"NA")</f>
        <v/>
      </c>
      <c r="X83" s="9">
        <f>IF(ISNUMBER($U83),$U83*$J83*Assumptions!$B$4,"NA")</f>
        <v/>
      </c>
      <c r="Y83" s="9">
        <f>IF(ISNUMBER($V83),$V83*$J83*Assumptions!$B$4,"NA")</f>
        <v/>
      </c>
    </row>
    <row r="84">
      <c r="A84" s="5" t="inlineStr">
        <is>
          <t>Austin Engineering</t>
        </is>
      </c>
      <c r="B84" s="11" t="inlineStr">
        <is>
          <t>Dump bodies/truck trays</t>
        </is>
      </c>
      <c r="C84" s="5" t="inlineStr">
        <is>
          <t>Blackwater Operations Pty Limited</t>
        </is>
      </c>
      <c r="D84" s="5" t="inlineStr">
        <is>
          <t>Owner</t>
        </is>
      </c>
      <c r="E84" s="5" t="inlineStr">
        <is>
          <t>Australia</t>
        </is>
      </c>
      <c r="F84" s="5" t="n">
        <v>2025</v>
      </c>
      <c r="G84" s="5" t="n">
        <v>5</v>
      </c>
      <c r="H84" s="7" t="n">
        <v>326764.34</v>
      </c>
      <c r="I84" s="5" t="inlineStr">
        <is>
          <t>AUD</t>
        </is>
      </c>
      <c r="J84" s="8">
        <f>IF($I84="AUD",Assumptions!$B$2,Assumptions!$B$3)</f>
        <v/>
      </c>
      <c r="K84" s="9">
        <f>$G84*$H84*$J84</f>
        <v/>
      </c>
      <c r="L84" s="9">
        <f>$K84*Assumptions!$B$4</f>
        <v/>
      </c>
      <c r="M84" s="9">
        <f>RawTx[[#This Row],[Value USD]]/RawTx[[#This Row],[Quantity]]</f>
        <v/>
      </c>
      <c r="N84" s="9">
        <f>RawTx[[#This Row],[Value IDR]]/RawTx[[#This Row],[Quantity]]</f>
        <v/>
      </c>
      <c r="O84" s="4" t="inlineStr">
        <is>
          <t>KOMATSU 830E-5 ULTIMA BODY C/W ACCESSORIES</t>
        </is>
      </c>
      <c r="P84" s="5" t="inlineStr">
        <is>
          <t>Komatsu</t>
        </is>
      </c>
      <c r="Q84" s="13" t="inlineStr">
        <is>
          <t>830E-5</t>
        </is>
      </c>
      <c r="R84" s="7" t="n">
        <v>196710</v>
      </c>
      <c r="S84" s="7">
        <f>IFERROR($R84/$G84,"")</f>
        <v/>
      </c>
      <c r="T84" s="7" t="inlineStr">
        <is>
          <t>NA</t>
        </is>
      </c>
      <c r="U84" s="7" t="inlineStr">
        <is>
          <t>NA</t>
        </is>
      </c>
      <c r="V84" s="7" t="inlineStr">
        <is>
          <t>NA</t>
        </is>
      </c>
      <c r="W84" s="9">
        <f>IF(ISNUMBER($T84),$T84*$J84*Assumptions!$B$4,"NA")</f>
        <v/>
      </c>
      <c r="X84" s="9">
        <f>IF(ISNUMBER($U84),$U84*$J84*Assumptions!$B$4,"NA")</f>
        <v/>
      </c>
      <c r="Y84" s="9">
        <f>IF(ISNUMBER($V84),$V84*$J84*Assumptions!$B$4,"NA")</f>
        <v/>
      </c>
    </row>
    <row r="85">
      <c r="A85" s="5" t="inlineStr">
        <is>
          <t>Austin Engineering</t>
        </is>
      </c>
      <c r="B85" s="11" t="inlineStr">
        <is>
          <t>Dump bodies/truck trays</t>
        </is>
      </c>
      <c r="C85" s="5" t="inlineStr">
        <is>
          <t>Gounkoto SA</t>
        </is>
      </c>
      <c r="D85" s="5" t="inlineStr">
        <is>
          <t>Owner</t>
        </is>
      </c>
      <c r="E85" s="5" t="inlineStr">
        <is>
          <t>Mali</t>
        </is>
      </c>
      <c r="F85" s="5" t="n">
        <v>2025</v>
      </c>
      <c r="G85" s="5" t="n">
        <v>13</v>
      </c>
      <c r="H85" s="7" t="n">
        <v>127800</v>
      </c>
      <c r="I85" s="5" t="inlineStr">
        <is>
          <t>USD</t>
        </is>
      </c>
      <c r="J85" s="8">
        <f>IF($I85="AUD",Assumptions!$B$2,Assumptions!$B$3)</f>
        <v/>
      </c>
      <c r="K85" s="9">
        <f>$G85*$H85*$J85</f>
        <v/>
      </c>
      <c r="L85" s="9">
        <f>$K85*Assumptions!$B$4</f>
        <v/>
      </c>
      <c r="M85" s="9">
        <f>RawTx[[#This Row],[Value USD]]/RawTx[[#This Row],[Quantity]]</f>
        <v/>
      </c>
      <c r="N85" s="9">
        <f>RawTx[[#This Row],[Value IDR]]/RawTx[[#This Row],[Quantity]]</f>
        <v/>
      </c>
      <c r="O85" s="4" t="inlineStr">
        <is>
          <t>AUSTIN ULTIMA TRUCK BODY FOR 777 E OR D INCLUDING: CENTRE IMPACT PLATE...</t>
        </is>
      </c>
      <c r="P85" s="5" t="inlineStr">
        <is>
          <t>Caterpillar</t>
        </is>
      </c>
      <c r="Q85" s="14" t="inlineStr">
        <is>
          <t>777E</t>
        </is>
      </c>
      <c r="R85" s="7" t="n">
        <v>218000</v>
      </c>
      <c r="S85" s="7">
        <f>IFERROR($R85/$G85,"")</f>
        <v/>
      </c>
      <c r="T85" s="7" t="n">
        <v>67515.77</v>
      </c>
      <c r="U85" s="7" t="n">
        <v>3729.33</v>
      </c>
      <c r="V85" s="7" t="n">
        <v>1661400</v>
      </c>
      <c r="W85" s="9">
        <f>IF(ISNUMBER($T85),$T85*$J85*Assumptions!$B$4,"NA")</f>
        <v/>
      </c>
      <c r="X85" s="9">
        <f>IF(ISNUMBER($U85),$U85*$J85*Assumptions!$B$4,"NA")</f>
        <v/>
      </c>
      <c r="Y85" s="9">
        <f>IF(ISNUMBER($V85),$V85*$J85*Assumptions!$B$4,"NA")</f>
        <v/>
      </c>
    </row>
    <row r="86">
      <c r="A86" s="5" t="inlineStr">
        <is>
          <t>Austin Engineering</t>
        </is>
      </c>
      <c r="B86" s="11" t="inlineStr">
        <is>
          <t>Dump bodies/truck trays</t>
        </is>
      </c>
      <c r="C86" s="5" t="inlineStr">
        <is>
          <t>Austin Engineering Limited</t>
        </is>
      </c>
      <c r="D86" s="11" t="inlineStr">
        <is>
          <t>Parent/Affiliate</t>
        </is>
      </c>
      <c r="E86" s="5" t="inlineStr">
        <is>
          <t>Australia</t>
        </is>
      </c>
      <c r="F86" s="5" t="n">
        <v>2024</v>
      </c>
      <c r="G86" s="5" t="n">
        <v>6</v>
      </c>
      <c r="H86" s="7" t="n">
        <v>192174.48</v>
      </c>
      <c r="I86" s="5" t="inlineStr">
        <is>
          <t>AUD</t>
        </is>
      </c>
      <c r="J86" s="8">
        <f>IF($I86="AUD",Assumptions!$B$2,Assumptions!$B$3)</f>
        <v/>
      </c>
      <c r="K86" s="9">
        <f>$G86*$H86*$J86</f>
        <v/>
      </c>
      <c r="L86" s="9">
        <f>$K86*Assumptions!$B$4</f>
        <v/>
      </c>
      <c r="M86" s="9">
        <f>RawTx[[#This Row],[Value USD]]/RawTx[[#This Row],[Quantity]]</f>
        <v/>
      </c>
      <c r="N86" s="9">
        <f>RawTx[[#This Row],[Value IDR]]/RawTx[[#This Row],[Quantity]]</f>
        <v/>
      </c>
      <c r="O86" s="4" t="inlineStr">
        <is>
          <t>830 E HPT MAX STD C/W ACCESSORIES PO REFERENCE : 3014834771, 3014834777,</t>
        </is>
      </c>
      <c r="P86" s="5" t="inlineStr">
        <is>
          <t>Komatsu</t>
        </is>
      </c>
      <c r="Q86" s="14" t="inlineStr">
        <is>
          <t>830E</t>
        </is>
      </c>
      <c r="R86" s="7" t="n">
        <v>163164</v>
      </c>
      <c r="S86" s="7">
        <f>IFERROR($R86/$G86,"")</f>
        <v/>
      </c>
      <c r="T86" s="7" t="inlineStr">
        <is>
          <t>NA</t>
        </is>
      </c>
      <c r="U86" s="7" t="inlineStr">
        <is>
          <t>NA</t>
        </is>
      </c>
      <c r="V86" s="7" t="inlineStr">
        <is>
          <t>NA</t>
        </is>
      </c>
      <c r="W86" s="9">
        <f>IF(ISNUMBER($T86),$T86*$J86*Assumptions!$B$4,"NA")</f>
        <v/>
      </c>
      <c r="X86" s="9">
        <f>IF(ISNUMBER($U86),$U86*$J86*Assumptions!$B$4,"NA")</f>
        <v/>
      </c>
      <c r="Y86" s="9">
        <f>IF(ISNUMBER($V86),$V86*$J86*Assumptions!$B$4,"NA")</f>
        <v/>
      </c>
    </row>
    <row r="87">
      <c r="A87" s="5" t="inlineStr">
        <is>
          <t>Austin Engineering</t>
        </is>
      </c>
      <c r="B87" s="11" t="inlineStr">
        <is>
          <t>Dump bodies/truck trays</t>
        </is>
      </c>
      <c r="C87" s="5" t="inlineStr">
        <is>
          <t>Austin Engineering Limited</t>
        </is>
      </c>
      <c r="D87" s="11" t="inlineStr">
        <is>
          <t>Parent/Affiliate</t>
        </is>
      </c>
      <c r="E87" s="5" t="inlineStr">
        <is>
          <t>Australia</t>
        </is>
      </c>
      <c r="F87" s="5" t="n">
        <v>2024</v>
      </c>
      <c r="G87" s="5" t="n">
        <v>6</v>
      </c>
      <c r="H87" s="7" t="n">
        <v>193381.75</v>
      </c>
      <c r="I87" s="5" t="inlineStr">
        <is>
          <t>AUD</t>
        </is>
      </c>
      <c r="J87" s="8">
        <f>IF($I87="AUD",Assumptions!$B$2,Assumptions!$B$3)</f>
        <v/>
      </c>
      <c r="K87" s="9">
        <f>$G87*$H87*$J87</f>
        <v/>
      </c>
      <c r="L87" s="9">
        <f>$K87*Assumptions!$B$4</f>
        <v/>
      </c>
      <c r="M87" s="9">
        <f>RawTx[[#This Row],[Value USD]]/RawTx[[#This Row],[Quantity]]</f>
        <v/>
      </c>
      <c r="N87" s="9">
        <f>RawTx[[#This Row],[Value IDR]]/RawTx[[#This Row],[Quantity]]</f>
        <v/>
      </c>
      <c r="O87" s="4" t="inlineStr">
        <is>
          <t>830 E HPT MAX STD C/W ACCESSORIES PO REFERENCE : 3014834705, 3014834754,</t>
        </is>
      </c>
      <c r="P87" s="5" t="inlineStr">
        <is>
          <t>Komatsu</t>
        </is>
      </c>
      <c r="Q87" s="14" t="inlineStr">
        <is>
          <t>830E</t>
        </is>
      </c>
      <c r="R87" s="7" t="n">
        <v>163164</v>
      </c>
      <c r="S87" s="7">
        <f>IFERROR($R87/$G87,"")</f>
        <v/>
      </c>
      <c r="T87" s="7" t="inlineStr">
        <is>
          <t>NA</t>
        </is>
      </c>
      <c r="U87" s="7" t="inlineStr">
        <is>
          <t>NA</t>
        </is>
      </c>
      <c r="V87" s="7" t="inlineStr">
        <is>
          <t>NA</t>
        </is>
      </c>
      <c r="W87" s="9">
        <f>IF(ISNUMBER($T87),$T87*$J87*Assumptions!$B$4,"NA")</f>
        <v/>
      </c>
      <c r="X87" s="9">
        <f>IF(ISNUMBER($U87),$U87*$J87*Assumptions!$B$4,"NA")</f>
        <v/>
      </c>
      <c r="Y87" s="9">
        <f>IF(ISNUMBER($V87),$V87*$J87*Assumptions!$B$4,"NA")</f>
        <v/>
      </c>
    </row>
    <row r="88">
      <c r="A88" s="5" t="inlineStr">
        <is>
          <t>Austin Engineering</t>
        </is>
      </c>
      <c r="B88" s="11" t="inlineStr">
        <is>
          <t>Dump bodies/truck trays</t>
        </is>
      </c>
      <c r="C88" s="5" t="inlineStr">
        <is>
          <t>Austin Engineering Limited</t>
        </is>
      </c>
      <c r="D88" s="11" t="inlineStr">
        <is>
          <t>Parent/Affiliate</t>
        </is>
      </c>
      <c r="E88" s="5" t="inlineStr">
        <is>
          <t>Australia</t>
        </is>
      </c>
      <c r="F88" s="5" t="n">
        <v>2024</v>
      </c>
      <c r="G88" s="5" t="n">
        <v>5</v>
      </c>
      <c r="H88" s="7" t="n">
        <v>196867.32</v>
      </c>
      <c r="I88" s="5" t="inlineStr">
        <is>
          <t>AUD</t>
        </is>
      </c>
      <c r="J88" s="8">
        <f>IF($I88="AUD",Assumptions!$B$2,Assumptions!$B$3)</f>
        <v/>
      </c>
      <c r="K88" s="9">
        <f>$G88*$H88*$J88</f>
        <v/>
      </c>
      <c r="L88" s="9">
        <f>$K88*Assumptions!$B$4</f>
        <v/>
      </c>
      <c r="M88" s="9">
        <f>RawTx[[#This Row],[Value USD]]/RawTx[[#This Row],[Quantity]]</f>
        <v/>
      </c>
      <c r="N88" s="9">
        <f>RawTx[[#This Row],[Value IDR]]/RawTx[[#This Row],[Quantity]]</f>
        <v/>
      </c>
      <c r="O88" s="4" t="inlineStr">
        <is>
          <t>830 E HPT MAX STD C/W ACCESSORIES PO REFERENCE : 3014833871,3014834016,3</t>
        </is>
      </c>
      <c r="P88" s="5" t="inlineStr">
        <is>
          <t>Komatsu</t>
        </is>
      </c>
      <c r="Q88" s="14" t="inlineStr">
        <is>
          <t>830E</t>
        </is>
      </c>
      <c r="R88" s="7" t="n">
        <v>142630</v>
      </c>
      <c r="S88" s="7">
        <f>IFERROR($R88/$G88,"")</f>
        <v/>
      </c>
      <c r="T88" s="7" t="inlineStr">
        <is>
          <t>NA</t>
        </is>
      </c>
      <c r="U88" s="7" t="inlineStr">
        <is>
          <t>NA</t>
        </is>
      </c>
      <c r="V88" s="7" t="inlineStr">
        <is>
          <t>NA</t>
        </is>
      </c>
      <c r="W88" s="9">
        <f>IF(ISNUMBER($T88),$T88*$J88*Assumptions!$B$4,"NA")</f>
        <v/>
      </c>
      <c r="X88" s="9">
        <f>IF(ISNUMBER($U88),$U88*$J88*Assumptions!$B$4,"NA")</f>
        <v/>
      </c>
      <c r="Y88" s="9">
        <f>IF(ISNUMBER($V88),$V88*$J88*Assumptions!$B$4,"NA")</f>
        <v/>
      </c>
    </row>
    <row r="89">
      <c r="A89" s="5" t="inlineStr">
        <is>
          <t>Austin Engineering</t>
        </is>
      </c>
      <c r="B89" s="11" t="inlineStr">
        <is>
          <t>Dump bodies/truck trays</t>
        </is>
      </c>
      <c r="C89" s="5" t="inlineStr">
        <is>
          <t>Austin Engineering Limited</t>
        </is>
      </c>
      <c r="D89" s="11" t="inlineStr">
        <is>
          <t>Parent/Affiliate</t>
        </is>
      </c>
      <c r="E89" s="5" t="inlineStr">
        <is>
          <t>Australia</t>
        </is>
      </c>
      <c r="F89" s="5" t="n">
        <v>2024</v>
      </c>
      <c r="G89" s="5" t="n">
        <v>4</v>
      </c>
      <c r="H89" s="7" t="n">
        <v>194440</v>
      </c>
      <c r="I89" s="5" t="inlineStr">
        <is>
          <t>AUD</t>
        </is>
      </c>
      <c r="J89" s="8">
        <f>IF($I89="AUD",Assumptions!$B$2,Assumptions!$B$3)</f>
        <v/>
      </c>
      <c r="K89" s="9">
        <f>$G89*$H89*$J89</f>
        <v/>
      </c>
      <c r="L89" s="9">
        <f>$K89*Assumptions!$B$4</f>
        <v/>
      </c>
      <c r="M89" s="9">
        <f>RawTx[[#This Row],[Value USD]]/RawTx[[#This Row],[Quantity]]</f>
        <v/>
      </c>
      <c r="N89" s="9">
        <f>RawTx[[#This Row],[Value IDR]]/RawTx[[#This Row],[Quantity]]</f>
        <v/>
      </c>
      <c r="O89" s="4" t="inlineStr">
        <is>
          <t>830 E HPT MAX STD C/W ACCESSORIES PO REFERENCE : 3014833830,3014833803,</t>
        </is>
      </c>
      <c r="P89" s="5" t="inlineStr">
        <is>
          <t>Komatsu</t>
        </is>
      </c>
      <c r="Q89" s="14" t="inlineStr">
        <is>
          <t>830E</t>
        </is>
      </c>
      <c r="R89" s="7" t="n">
        <v>114104</v>
      </c>
      <c r="S89" s="7">
        <f>IFERROR($R89/$G89,"")</f>
        <v/>
      </c>
      <c r="T89" s="7" t="inlineStr">
        <is>
          <t>NA</t>
        </is>
      </c>
      <c r="U89" s="7" t="inlineStr">
        <is>
          <t>NA</t>
        </is>
      </c>
      <c r="V89" s="7" t="inlineStr">
        <is>
          <t>NA</t>
        </is>
      </c>
      <c r="W89" s="9">
        <f>IF(ISNUMBER($T89),$T89*$J89*Assumptions!$B$4,"NA")</f>
        <v/>
      </c>
      <c r="X89" s="9">
        <f>IF(ISNUMBER($U89),$U89*$J89*Assumptions!$B$4,"NA")</f>
        <v/>
      </c>
      <c r="Y89" s="9">
        <f>IF(ISNUMBER($V89),$V89*$J89*Assumptions!$B$4,"NA")</f>
        <v/>
      </c>
    </row>
    <row r="90">
      <c r="A90" s="5" t="inlineStr">
        <is>
          <t>Austin Engineering</t>
        </is>
      </c>
      <c r="B90" s="11" t="inlineStr">
        <is>
          <t>Dump bodies/truck trays</t>
        </is>
      </c>
      <c r="C90" s="5" t="inlineStr">
        <is>
          <t>Austin Engineering Limited</t>
        </is>
      </c>
      <c r="D90" s="11" t="inlineStr">
        <is>
          <t>Parent/Affiliate</t>
        </is>
      </c>
      <c r="E90" s="5" t="inlineStr">
        <is>
          <t>Australia</t>
        </is>
      </c>
      <c r="F90" s="5" t="n">
        <v>2024</v>
      </c>
      <c r="G90" s="5" t="n">
        <v>1</v>
      </c>
      <c r="H90" s="7" t="n">
        <v>205587</v>
      </c>
      <c r="I90" s="5" t="inlineStr">
        <is>
          <t>AUD</t>
        </is>
      </c>
      <c r="J90" s="8">
        <f>IF($I90="AUD",Assumptions!$B$2,Assumptions!$B$3)</f>
        <v/>
      </c>
      <c r="K90" s="9">
        <f>$G90*$H90*$J90</f>
        <v/>
      </c>
      <c r="L90" s="9">
        <f>$K90*Assumptions!$B$4</f>
        <v/>
      </c>
      <c r="M90" s="9">
        <f>RawTx[[#This Row],[Value USD]]/RawTx[[#This Row],[Quantity]]</f>
        <v/>
      </c>
      <c r="N90" s="9">
        <f>RawTx[[#This Row],[Value IDR]]/RawTx[[#This Row],[Quantity]]</f>
        <v/>
      </c>
      <c r="O90" s="4" t="inlineStr">
        <is>
          <t>930 E HPT MAX STD C/W ACCESSORIES PO REFERENCE : 3014833800</t>
        </is>
      </c>
      <c r="P90" s="5" t="inlineStr">
        <is>
          <t>Komatsu</t>
        </is>
      </c>
      <c r="Q90" s="14" t="inlineStr">
        <is>
          <t>930E</t>
        </is>
      </c>
      <c r="R90" s="7" t="n">
        <v>28526</v>
      </c>
      <c r="S90" s="7">
        <f>IFERROR($R90/$G90,"")</f>
        <v/>
      </c>
      <c r="T90" s="7" t="inlineStr">
        <is>
          <t>NA</t>
        </is>
      </c>
      <c r="U90" s="7" t="inlineStr">
        <is>
          <t>NA</t>
        </is>
      </c>
      <c r="V90" s="7" t="inlineStr">
        <is>
          <t>NA</t>
        </is>
      </c>
      <c r="W90" s="9">
        <f>IF(ISNUMBER($T90),$T90*$J90*Assumptions!$B$4,"NA")</f>
        <v/>
      </c>
      <c r="X90" s="9">
        <f>IF(ISNUMBER($U90),$U90*$J90*Assumptions!$B$4,"NA")</f>
        <v/>
      </c>
      <c r="Y90" s="9">
        <f>IF(ISNUMBER($V90),$V90*$J90*Assumptions!$B$4,"NA")</f>
        <v/>
      </c>
    </row>
    <row r="91">
      <c r="A91" s="5" t="inlineStr">
        <is>
          <t>Austin Engineering</t>
        </is>
      </c>
      <c r="B91" s="11" t="inlineStr">
        <is>
          <t>Dump bodies/truck trays</t>
        </is>
      </c>
      <c r="C91" s="5" t="inlineStr">
        <is>
          <t>Austin Engineering Limited</t>
        </is>
      </c>
      <c r="D91" s="11" t="inlineStr">
        <is>
          <t>Parent/Affiliate</t>
        </is>
      </c>
      <c r="E91" s="5" t="inlineStr">
        <is>
          <t>Australia</t>
        </is>
      </c>
      <c r="F91" s="5" t="n">
        <v>2024</v>
      </c>
      <c r="G91" s="5" t="n">
        <v>5</v>
      </c>
      <c r="H91" s="7" t="n">
        <v>196411</v>
      </c>
      <c r="I91" s="5" t="inlineStr">
        <is>
          <t>AUD</t>
        </is>
      </c>
      <c r="J91" s="8">
        <f>IF($I91="AUD",Assumptions!$B$2,Assumptions!$B$3)</f>
        <v/>
      </c>
      <c r="K91" s="9">
        <f>$G91*$H91*$J91</f>
        <v/>
      </c>
      <c r="L91" s="9">
        <f>$K91*Assumptions!$B$4</f>
        <v/>
      </c>
      <c r="M91" s="9">
        <f>RawTx[[#This Row],[Value USD]]/RawTx[[#This Row],[Quantity]]</f>
        <v/>
      </c>
      <c r="N91" s="9">
        <f>RawTx[[#This Row],[Value IDR]]/RawTx[[#This Row],[Quantity]]</f>
        <v/>
      </c>
      <c r="O91" s="4" t="inlineStr">
        <is>
          <t>930 E HPT MAX STD C/W ACCESSORIESPO REFERENCE : 3014834175, 3014834183,3</t>
        </is>
      </c>
      <c r="P91" s="5" t="inlineStr">
        <is>
          <t>Komatsu</t>
        </is>
      </c>
      <c r="Q91" s="14" t="inlineStr">
        <is>
          <t>930E</t>
        </is>
      </c>
      <c r="R91" s="7" t="n">
        <v>157030</v>
      </c>
      <c r="S91" s="7">
        <f>IFERROR($R91/$G91,"")</f>
        <v/>
      </c>
      <c r="T91" s="7" t="inlineStr">
        <is>
          <t>NA</t>
        </is>
      </c>
      <c r="U91" s="7" t="inlineStr">
        <is>
          <t>NA</t>
        </is>
      </c>
      <c r="V91" s="7" t="inlineStr">
        <is>
          <t>NA</t>
        </is>
      </c>
      <c r="W91" s="9">
        <f>IF(ISNUMBER($T91),$T91*$J91*Assumptions!$B$4,"NA")</f>
        <v/>
      </c>
      <c r="X91" s="9">
        <f>IF(ISNUMBER($U91),$U91*$J91*Assumptions!$B$4,"NA")</f>
        <v/>
      </c>
      <c r="Y91" s="9">
        <f>IF(ISNUMBER($V91),$V91*$J91*Assumptions!$B$4,"NA")</f>
        <v/>
      </c>
    </row>
    <row r="92">
      <c r="A92" s="5" t="inlineStr">
        <is>
          <t>Austin Engineering</t>
        </is>
      </c>
      <c r="B92" s="11" t="inlineStr">
        <is>
          <t>Dump bodies/truck trays</t>
        </is>
      </c>
      <c r="C92" s="5" t="inlineStr">
        <is>
          <t>Austin Engineering Limited</t>
        </is>
      </c>
      <c r="D92" s="11" t="inlineStr">
        <is>
          <t>Parent/Affiliate</t>
        </is>
      </c>
      <c r="E92" s="5" t="inlineStr">
        <is>
          <t>Australia</t>
        </is>
      </c>
      <c r="F92" s="5" t="n">
        <v>2024</v>
      </c>
      <c r="G92" s="5" t="n">
        <v>1</v>
      </c>
      <c r="H92" s="7" t="n">
        <v>194434</v>
      </c>
      <c r="I92" s="5" t="inlineStr">
        <is>
          <t>AUD</t>
        </is>
      </c>
      <c r="J92" s="8">
        <f>IF($I92="AUD",Assumptions!$B$2,Assumptions!$B$3)</f>
        <v/>
      </c>
      <c r="K92" s="9">
        <f>$G92*$H92*$J92</f>
        <v/>
      </c>
      <c r="L92" s="9">
        <f>$K92*Assumptions!$B$4</f>
        <v/>
      </c>
      <c r="M92" s="9">
        <f>RawTx[[#This Row],[Value USD]]/RawTx[[#This Row],[Quantity]]</f>
        <v/>
      </c>
      <c r="N92" s="9">
        <f>RawTx[[#This Row],[Value IDR]]/RawTx[[#This Row],[Quantity]]</f>
        <v/>
      </c>
      <c r="O92" s="4" t="inlineStr">
        <is>
          <t>830E-5 HPT MAX STD C/W ACCESSORIES PO REFERENCE : 3015016749</t>
        </is>
      </c>
      <c r="P92" s="5" t="inlineStr">
        <is>
          <t>Komatsu</t>
        </is>
      </c>
      <c r="Q92" s="13" t="inlineStr">
        <is>
          <t>830E-5</t>
        </is>
      </c>
      <c r="R92" s="7" t="n">
        <v>28143</v>
      </c>
      <c r="S92" s="7">
        <f>IFERROR($R92/$G92,"")</f>
        <v/>
      </c>
      <c r="T92" s="7" t="inlineStr">
        <is>
          <t>NA</t>
        </is>
      </c>
      <c r="U92" s="7" t="inlineStr">
        <is>
          <t>NA</t>
        </is>
      </c>
      <c r="V92" s="7" t="inlineStr">
        <is>
          <t>NA</t>
        </is>
      </c>
      <c r="W92" s="9">
        <f>IF(ISNUMBER($T92),$T92*$J92*Assumptions!$B$4,"NA")</f>
        <v/>
      </c>
      <c r="X92" s="9">
        <f>IF(ISNUMBER($U92),$U92*$J92*Assumptions!$B$4,"NA")</f>
        <v/>
      </c>
      <c r="Y92" s="9">
        <f>IF(ISNUMBER($V92),$V92*$J92*Assumptions!$B$4,"NA")</f>
        <v/>
      </c>
    </row>
    <row r="93">
      <c r="A93" s="5" t="inlineStr">
        <is>
          <t>Austin Engineering</t>
        </is>
      </c>
      <c r="B93" s="11" t="inlineStr">
        <is>
          <t>Dump bodies/truck trays</t>
        </is>
      </c>
      <c r="C93" s="5" t="inlineStr">
        <is>
          <t>Austin Engineering Limited</t>
        </is>
      </c>
      <c r="D93" s="11" t="inlineStr">
        <is>
          <t>Parent/Affiliate</t>
        </is>
      </c>
      <c r="E93" s="5" t="inlineStr">
        <is>
          <t>Australia</t>
        </is>
      </c>
      <c r="F93" s="5" t="n">
        <v>2024</v>
      </c>
      <c r="G93" s="5" t="n">
        <v>4</v>
      </c>
      <c r="H93" s="7" t="n">
        <v>191687</v>
      </c>
      <c r="I93" s="5" t="inlineStr">
        <is>
          <t>AUD</t>
        </is>
      </c>
      <c r="J93" s="8">
        <f>IF($I93="AUD",Assumptions!$B$2,Assumptions!$B$3)</f>
        <v/>
      </c>
      <c r="K93" s="9">
        <f>$G93*$H93*$J93</f>
        <v/>
      </c>
      <c r="L93" s="9">
        <f>$K93*Assumptions!$B$4</f>
        <v/>
      </c>
      <c r="M93" s="9">
        <f>RawTx[[#This Row],[Value USD]]/RawTx[[#This Row],[Quantity]]</f>
        <v/>
      </c>
      <c r="N93" s="9">
        <f>RawTx[[#This Row],[Value IDR]]/RawTx[[#This Row],[Quantity]]</f>
        <v/>
      </c>
      <c r="O93" s="4" t="inlineStr">
        <is>
          <t>830E-5 HPT MAX STD C/W ACCESSORIES PO REFERENCE : 3014963176, 3014963200</t>
        </is>
      </c>
      <c r="P93" s="5" t="inlineStr">
        <is>
          <t>Komatsu</t>
        </is>
      </c>
      <c r="Q93" s="13" t="inlineStr">
        <is>
          <t>830E-5</t>
        </is>
      </c>
      <c r="R93" s="7" t="n">
        <v>112572</v>
      </c>
      <c r="S93" s="7">
        <f>IFERROR($R93/$G93,"")</f>
        <v/>
      </c>
      <c r="T93" s="7" t="n">
        <v>29198.6</v>
      </c>
      <c r="U93" s="7" t="n">
        <v>3008.48</v>
      </c>
      <c r="V93" s="7" t="n">
        <v>1147390</v>
      </c>
      <c r="W93" s="9">
        <f>IF(ISNUMBER($T93),$T93*$J93*Assumptions!$B$4,"NA")</f>
        <v/>
      </c>
      <c r="X93" s="9">
        <f>IF(ISNUMBER($U93),$U93*$J93*Assumptions!$B$4,"NA")</f>
        <v/>
      </c>
      <c r="Y93" s="9">
        <f>IF(ISNUMBER($V93),$V93*$J93*Assumptions!$B$4,"NA")</f>
        <v/>
      </c>
    </row>
    <row r="94">
      <c r="A94" s="5" t="inlineStr">
        <is>
          <t>Austin Engineering</t>
        </is>
      </c>
      <c r="B94" s="11" t="inlineStr">
        <is>
          <t>Dump bodies/truck trays</t>
        </is>
      </c>
      <c r="C94" s="5" t="inlineStr">
        <is>
          <t>Austin Engineering Limited</t>
        </is>
      </c>
      <c r="D94" s="11" t="inlineStr">
        <is>
          <t>Parent/Affiliate</t>
        </is>
      </c>
      <c r="E94" s="5" t="inlineStr">
        <is>
          <t>Australia</t>
        </is>
      </c>
      <c r="F94" s="5" t="n">
        <v>2024</v>
      </c>
      <c r="G94" s="5" t="n">
        <v>1</v>
      </c>
      <c r="H94" s="7" t="n">
        <v>192986</v>
      </c>
      <c r="I94" s="5" t="inlineStr">
        <is>
          <t>AUD</t>
        </is>
      </c>
      <c r="J94" s="8">
        <f>IF($I94="AUD",Assumptions!$B$2,Assumptions!$B$3)</f>
        <v/>
      </c>
      <c r="K94" s="9">
        <f>$G94*$H94*$J94</f>
        <v/>
      </c>
      <c r="L94" s="9">
        <f>$K94*Assumptions!$B$4</f>
        <v/>
      </c>
      <c r="M94" s="9">
        <f>RawTx[[#This Row],[Value USD]]/RawTx[[#This Row],[Quantity]]</f>
        <v/>
      </c>
      <c r="N94" s="9">
        <f>RawTx[[#This Row],[Value IDR]]/RawTx[[#This Row],[Quantity]]</f>
        <v/>
      </c>
      <c r="O94" s="4" t="inlineStr">
        <is>
          <t>930 HPT MAX STD C/W ACCESSORIES PO REFERENCE : 3014834160, 3014963225</t>
        </is>
      </c>
      <c r="P94" s="5" t="inlineStr">
        <is>
          <t>Komatsu</t>
        </is>
      </c>
      <c r="Q94" s="14" t="inlineStr">
        <is>
          <t>930</t>
        </is>
      </c>
      <c r="R94" s="7" t="n">
        <v>28143</v>
      </c>
      <c r="S94" s="7">
        <f>IFERROR($R94/$G94,"")</f>
        <v/>
      </c>
      <c r="T94" s="7" t="inlineStr">
        <is>
          <t>NA</t>
        </is>
      </c>
      <c r="U94" s="7" t="inlineStr">
        <is>
          <t>NA</t>
        </is>
      </c>
      <c r="V94" s="7" t="inlineStr">
        <is>
          <t>NA</t>
        </is>
      </c>
      <c r="W94" s="9">
        <f>IF(ISNUMBER($T94),$T94*$J94*Assumptions!$B$4,"NA")</f>
        <v/>
      </c>
      <c r="X94" s="9">
        <f>IF(ISNUMBER($U94),$U94*$J94*Assumptions!$B$4,"NA")</f>
        <v/>
      </c>
      <c r="Y94" s="9">
        <f>IF(ISNUMBER($V94),$V94*$J94*Assumptions!$B$4,"NA")</f>
        <v/>
      </c>
    </row>
    <row r="95">
      <c r="A95" s="5" t="inlineStr">
        <is>
          <t>Austin Engineering</t>
        </is>
      </c>
      <c r="B95" s="11" t="inlineStr">
        <is>
          <t>Dump bodies/truck trays</t>
        </is>
      </c>
      <c r="C95" s="5" t="inlineStr">
        <is>
          <t>Austin Engineering Limited</t>
        </is>
      </c>
      <c r="D95" s="11" t="inlineStr">
        <is>
          <t>Parent/Affiliate</t>
        </is>
      </c>
      <c r="E95" s="5" t="inlineStr">
        <is>
          <t>Australia</t>
        </is>
      </c>
      <c r="F95" s="5" t="n">
        <v>2024</v>
      </c>
      <c r="G95" s="5" t="n">
        <v>2</v>
      </c>
      <c r="H95" s="7" t="n">
        <v>197742</v>
      </c>
      <c r="I95" s="5" t="inlineStr">
        <is>
          <t>AUD</t>
        </is>
      </c>
      <c r="J95" s="8">
        <f>IF($I95="AUD",Assumptions!$B$2,Assumptions!$B$3)</f>
        <v/>
      </c>
      <c r="K95" s="9">
        <f>$G95*$H95*$J95</f>
        <v/>
      </c>
      <c r="L95" s="9">
        <f>$K95*Assumptions!$B$4</f>
        <v/>
      </c>
      <c r="M95" s="9">
        <f>RawTx[[#This Row],[Value USD]]/RawTx[[#This Row],[Quantity]]</f>
        <v/>
      </c>
      <c r="N95" s="9">
        <f>RawTx[[#This Row],[Value IDR]]/RawTx[[#This Row],[Quantity]]</f>
        <v/>
      </c>
      <c r="O95" s="4" t="inlineStr">
        <is>
          <t>930 HPT MAX STD C/W ACCESSORIES PO REFERENCE : 3014834160, 3014834161</t>
        </is>
      </c>
      <c r="P95" s="5" t="inlineStr">
        <is>
          <t>Komatsu</t>
        </is>
      </c>
      <c r="Q95" s="14" t="inlineStr">
        <is>
          <t>930</t>
        </is>
      </c>
      <c r="R95" s="7" t="n">
        <v>62812</v>
      </c>
      <c r="S95" s="7">
        <f>IFERROR($R95/$G95,"")</f>
        <v/>
      </c>
      <c r="T95" s="7" t="inlineStr">
        <is>
          <t>NA</t>
        </is>
      </c>
      <c r="U95" s="7" t="inlineStr">
        <is>
          <t>NA</t>
        </is>
      </c>
      <c r="V95" s="7" t="inlineStr">
        <is>
          <t>NA</t>
        </is>
      </c>
      <c r="W95" s="9">
        <f>IF(ISNUMBER($T95),$T95*$J95*Assumptions!$B$4,"NA")</f>
        <v/>
      </c>
      <c r="X95" s="9">
        <f>IF(ISNUMBER($U95),$U95*$J95*Assumptions!$B$4,"NA")</f>
        <v/>
      </c>
      <c r="Y95" s="9">
        <f>IF(ISNUMBER($V95),$V95*$J95*Assumptions!$B$4,"NA")</f>
        <v/>
      </c>
    </row>
    <row r="96">
      <c r="A96" s="5" t="inlineStr">
        <is>
          <t>Austin Engineering</t>
        </is>
      </c>
      <c r="B96" s="11" t="inlineStr">
        <is>
          <t>Dump bodies/truck trays</t>
        </is>
      </c>
      <c r="C96" s="5" t="inlineStr">
        <is>
          <t>Austin Engineering Limited</t>
        </is>
      </c>
      <c r="D96" s="11" t="inlineStr">
        <is>
          <t>Parent/Affiliate</t>
        </is>
      </c>
      <c r="E96" s="5" t="inlineStr">
        <is>
          <t>Australia</t>
        </is>
      </c>
      <c r="F96" s="5" t="n">
        <v>2024</v>
      </c>
      <c r="G96" s="5" t="n">
        <v>3</v>
      </c>
      <c r="H96" s="7" t="n">
        <v>195752</v>
      </c>
      <c r="I96" s="5" t="inlineStr">
        <is>
          <t>AUD</t>
        </is>
      </c>
      <c r="J96" s="8">
        <f>IF($I96="AUD",Assumptions!$B$2,Assumptions!$B$3)</f>
        <v/>
      </c>
      <c r="K96" s="9">
        <f>$G96*$H96*$J96</f>
        <v/>
      </c>
      <c r="L96" s="9">
        <f>$K96*Assumptions!$B$4</f>
        <v/>
      </c>
      <c r="M96" s="9">
        <f>RawTx[[#This Row],[Value USD]]/RawTx[[#This Row],[Quantity]]</f>
        <v/>
      </c>
      <c r="N96" s="9">
        <f>RawTx[[#This Row],[Value IDR]]/RawTx[[#This Row],[Quantity]]</f>
        <v/>
      </c>
      <c r="O96" s="4" t="inlineStr">
        <is>
          <t>830E-5 HPT MAX STD C/W ACCESSORIES PO REFERENCE : 3015034408, 30150383</t>
        </is>
      </c>
      <c r="P96" s="5" t="inlineStr">
        <is>
          <t>Komatsu</t>
        </is>
      </c>
      <c r="Q96" s="13" t="inlineStr">
        <is>
          <t>830E-5</t>
        </is>
      </c>
      <c r="R96" s="7" t="n">
        <v>84429</v>
      </c>
      <c r="S96" s="7">
        <f>IFERROR($R96/$G96,"")</f>
        <v/>
      </c>
      <c r="T96" s="7" t="inlineStr">
        <is>
          <t>NA</t>
        </is>
      </c>
      <c r="U96" s="7" t="inlineStr">
        <is>
          <t>NA</t>
        </is>
      </c>
      <c r="V96" s="7" t="inlineStr">
        <is>
          <t>NA</t>
        </is>
      </c>
      <c r="W96" s="9">
        <f>IF(ISNUMBER($T96),$T96*$J96*Assumptions!$B$4,"NA")</f>
        <v/>
      </c>
      <c r="X96" s="9">
        <f>IF(ISNUMBER($U96),$U96*$J96*Assumptions!$B$4,"NA")</f>
        <v/>
      </c>
      <c r="Y96" s="9">
        <f>IF(ISNUMBER($V96),$V96*$J96*Assumptions!$B$4,"NA")</f>
        <v/>
      </c>
    </row>
    <row r="97">
      <c r="A97" s="5" t="inlineStr">
        <is>
          <t>Austin Engineering</t>
        </is>
      </c>
      <c r="B97" s="11" t="inlineStr">
        <is>
          <t>Dump bodies/truck trays</t>
        </is>
      </c>
      <c r="C97" s="5" t="inlineStr">
        <is>
          <t>Austin Engineering Limited</t>
        </is>
      </c>
      <c r="D97" s="11" t="inlineStr">
        <is>
          <t>Parent/Affiliate</t>
        </is>
      </c>
      <c r="E97" s="5" t="inlineStr">
        <is>
          <t>Australia</t>
        </is>
      </c>
      <c r="F97" s="5" t="n">
        <v>2024</v>
      </c>
      <c r="G97" s="5" t="n">
        <v>4</v>
      </c>
      <c r="H97" s="7" t="n">
        <v>190839.38</v>
      </c>
      <c r="I97" s="5" t="inlineStr">
        <is>
          <t>AUD</t>
        </is>
      </c>
      <c r="J97" s="8">
        <f>IF($I97="AUD",Assumptions!$B$2,Assumptions!$B$3)</f>
        <v/>
      </c>
      <c r="K97" s="9">
        <f>$G97*$H97*$J97</f>
        <v/>
      </c>
      <c r="L97" s="9">
        <f>$K97*Assumptions!$B$4</f>
        <v/>
      </c>
      <c r="M97" s="9">
        <f>RawTx[[#This Row],[Value USD]]/RawTx[[#This Row],[Quantity]]</f>
        <v/>
      </c>
      <c r="N97" s="9">
        <f>RawTx[[#This Row],[Value IDR]]/RawTx[[#This Row],[Quantity]]</f>
        <v/>
      </c>
      <c r="O97" s="4" t="inlineStr">
        <is>
          <t>830E-5 HPT MAX STD C/W ACCESSORIES PO REFERENCE : 3015016729, 30149631</t>
        </is>
      </c>
      <c r="P97" s="5" t="inlineStr">
        <is>
          <t>Komatsu</t>
        </is>
      </c>
      <c r="Q97" s="13" t="inlineStr">
        <is>
          <t>830E-5</t>
        </is>
      </c>
      <c r="R97" s="7" t="n">
        <v>112572</v>
      </c>
      <c r="S97" s="7">
        <f>IFERROR($R97/$G97,"")</f>
        <v/>
      </c>
      <c r="T97" s="7" t="inlineStr">
        <is>
          <t>NA</t>
        </is>
      </c>
      <c r="U97" s="7" t="inlineStr">
        <is>
          <t>NA</t>
        </is>
      </c>
      <c r="V97" s="7" t="inlineStr">
        <is>
          <t>NA</t>
        </is>
      </c>
      <c r="W97" s="9">
        <f>IF(ISNUMBER($T97),$T97*$J97*Assumptions!$B$4,"NA")</f>
        <v/>
      </c>
      <c r="X97" s="9">
        <f>IF(ISNUMBER($U97),$U97*$J97*Assumptions!$B$4,"NA")</f>
        <v/>
      </c>
      <c r="Y97" s="9">
        <f>IF(ISNUMBER($V97),$V97*$J97*Assumptions!$B$4,"NA")</f>
        <v/>
      </c>
    </row>
    <row r="98">
      <c r="A98" s="5" t="inlineStr">
        <is>
          <t>Austin Engineering</t>
        </is>
      </c>
      <c r="B98" s="11" t="inlineStr">
        <is>
          <t>Dump bodies/truck trays</t>
        </is>
      </c>
      <c r="C98" s="5" t="inlineStr">
        <is>
          <t>Austin Engineering Limited</t>
        </is>
      </c>
      <c r="D98" s="11" t="inlineStr">
        <is>
          <t>Parent/Affiliate</t>
        </is>
      </c>
      <c r="E98" s="5" t="inlineStr">
        <is>
          <t>Australia</t>
        </is>
      </c>
      <c r="F98" s="5" t="n">
        <v>2024</v>
      </c>
      <c r="G98" s="5" t="n">
        <v>1</v>
      </c>
      <c r="H98" s="7" t="n">
        <v>193575.42</v>
      </c>
      <c r="I98" s="5" t="inlineStr">
        <is>
          <t>AUD</t>
        </is>
      </c>
      <c r="J98" s="8">
        <f>IF($I98="AUD",Assumptions!$B$2,Assumptions!$B$3)</f>
        <v/>
      </c>
      <c r="K98" s="9">
        <f>$G98*$H98*$J98</f>
        <v/>
      </c>
      <c r="L98" s="9">
        <f>$K98*Assumptions!$B$4</f>
        <v/>
      </c>
      <c r="M98" s="9">
        <f>RawTx[[#This Row],[Value USD]]/RawTx[[#This Row],[Quantity]]</f>
        <v/>
      </c>
      <c r="N98" s="9">
        <f>RawTx[[#This Row],[Value IDR]]/RawTx[[#This Row],[Quantity]]</f>
        <v/>
      </c>
      <c r="O98" s="4" t="inlineStr">
        <is>
          <t>830E-5 HPT MAX STD C/W ACCESSORIES PO REFERENCE : 3015034410</t>
        </is>
      </c>
      <c r="P98" s="5" t="inlineStr">
        <is>
          <t>Komatsu</t>
        </is>
      </c>
      <c r="Q98" s="13" t="inlineStr">
        <is>
          <t>830E-5</t>
        </is>
      </c>
      <c r="R98" s="7" t="n">
        <v>28143</v>
      </c>
      <c r="S98" s="7">
        <f>IFERROR($R98/$G98,"")</f>
        <v/>
      </c>
      <c r="T98" s="7" t="inlineStr">
        <is>
          <t>NA</t>
        </is>
      </c>
      <c r="U98" s="7" t="inlineStr">
        <is>
          <t>NA</t>
        </is>
      </c>
      <c r="V98" s="7" t="inlineStr">
        <is>
          <t>NA</t>
        </is>
      </c>
      <c r="W98" s="9">
        <f>IF(ISNUMBER($T98),$T98*$J98*Assumptions!$B$4,"NA")</f>
        <v/>
      </c>
      <c r="X98" s="9">
        <f>IF(ISNUMBER($U98),$U98*$J98*Assumptions!$B$4,"NA")</f>
        <v/>
      </c>
      <c r="Y98" s="9">
        <f>IF(ISNUMBER($V98),$V98*$J98*Assumptions!$B$4,"NA")</f>
        <v/>
      </c>
    </row>
    <row r="99">
      <c r="A99" s="5" t="inlineStr">
        <is>
          <t>Austin Engineering</t>
        </is>
      </c>
      <c r="B99" s="11" t="inlineStr">
        <is>
          <t>Dump bodies/truck trays</t>
        </is>
      </c>
      <c r="C99" s="5" t="inlineStr">
        <is>
          <t>Austin Engineering Limited</t>
        </is>
      </c>
      <c r="D99" s="11" t="inlineStr">
        <is>
          <t>Parent/Affiliate</t>
        </is>
      </c>
      <c r="E99" s="5" t="inlineStr">
        <is>
          <t>Australia</t>
        </is>
      </c>
      <c r="F99" s="5" t="n">
        <v>2024</v>
      </c>
      <c r="G99" s="5" t="n">
        <v>1</v>
      </c>
      <c r="H99" s="7" t="n">
        <v>290960</v>
      </c>
      <c r="I99" s="5" t="inlineStr">
        <is>
          <t>AUD</t>
        </is>
      </c>
      <c r="J99" s="8">
        <f>IF($I99="AUD",Assumptions!$B$2,Assumptions!$B$3)</f>
        <v/>
      </c>
      <c r="K99" s="9">
        <f>$G99*$H99*$J99</f>
        <v/>
      </c>
      <c r="L99" s="9">
        <f>$K99*Assumptions!$B$4</f>
        <v/>
      </c>
      <c r="M99" s="9">
        <f>RawTx[[#This Row],[Value USD]]/RawTx[[#This Row],[Quantity]]</f>
        <v/>
      </c>
      <c r="N99" s="9">
        <f>RawTx[[#This Row],[Value IDR]]/RawTx[[#This Row],[Quantity]]</f>
        <v/>
      </c>
      <c r="O99" s="4" t="inlineStr">
        <is>
          <t>830E-5 HPT MAX STD C/W ACCESSORIES PO REFERENCE : 3015034410</t>
        </is>
      </c>
      <c r="P99" s="5" t="inlineStr">
        <is>
          <t>Komatsu</t>
        </is>
      </c>
      <c r="Q99" s="13" t="inlineStr">
        <is>
          <t>830E-5</t>
        </is>
      </c>
      <c r="R99" s="7" t="n">
        <v>28143</v>
      </c>
      <c r="S99" s="7">
        <f>IFERROR($R99/$G99,"")</f>
        <v/>
      </c>
      <c r="T99" s="7" t="inlineStr">
        <is>
          <t>NA</t>
        </is>
      </c>
      <c r="U99" s="7" t="inlineStr">
        <is>
          <t>NA</t>
        </is>
      </c>
      <c r="V99" s="7" t="inlineStr">
        <is>
          <t>NA</t>
        </is>
      </c>
      <c r="W99" s="9">
        <f>IF(ISNUMBER($T99),$T99*$J99*Assumptions!$B$4,"NA")</f>
        <v/>
      </c>
      <c r="X99" s="9">
        <f>IF(ISNUMBER($U99),$U99*$J99*Assumptions!$B$4,"NA")</f>
        <v/>
      </c>
      <c r="Y99" s="9">
        <f>IF(ISNUMBER($V99),$V99*$J99*Assumptions!$B$4,"NA")</f>
        <v/>
      </c>
    </row>
    <row r="100">
      <c r="A100" s="5" t="inlineStr">
        <is>
          <t>Austin Engineering</t>
        </is>
      </c>
      <c r="B100" s="11" t="inlineStr">
        <is>
          <t>Dump bodies/truck trays</t>
        </is>
      </c>
      <c r="C100" s="5" t="inlineStr">
        <is>
          <t>Austin Engineering Limited</t>
        </is>
      </c>
      <c r="D100" s="11" t="inlineStr">
        <is>
          <t>Parent/Affiliate</t>
        </is>
      </c>
      <c r="E100" s="5" t="inlineStr">
        <is>
          <t>Australia</t>
        </is>
      </c>
      <c r="F100" s="5" t="n">
        <v>2024</v>
      </c>
      <c r="G100" s="5" t="n">
        <v>4</v>
      </c>
      <c r="H100" s="7" t="n">
        <v>71712.3</v>
      </c>
      <c r="I100" s="5" t="inlineStr">
        <is>
          <t>AUD</t>
        </is>
      </c>
      <c r="J100" s="8">
        <f>IF($I100="AUD",Assumptions!$B$2,Assumptions!$B$3)</f>
        <v/>
      </c>
      <c r="K100" s="9">
        <f>$G100*$H100*$J100</f>
        <v/>
      </c>
      <c r="L100" s="9">
        <f>$K100*Assumptions!$B$4</f>
        <v/>
      </c>
      <c r="M100" s="9">
        <f>RawTx[[#This Row],[Value USD]]/RawTx[[#This Row],[Quantity]]</f>
        <v/>
      </c>
      <c r="N100" s="9">
        <f>RawTx[[#This Row],[Value IDR]]/RawTx[[#This Row],[Quantity]]</f>
        <v/>
      </c>
      <c r="O100" s="4" t="inlineStr">
        <is>
          <t>830E-5 HPT MAX STD C/W ACCESSORIES PO REFERENCE : 3015016729, 30149631</t>
        </is>
      </c>
      <c r="P100" s="5" t="inlineStr">
        <is>
          <t>Komatsu</t>
        </is>
      </c>
      <c r="Q100" s="13" t="inlineStr">
        <is>
          <t>830E-5</t>
        </is>
      </c>
      <c r="R100" s="7" t="n">
        <v>112572</v>
      </c>
      <c r="S100" s="7">
        <f>IFERROR($R100/$G100,"")</f>
        <v/>
      </c>
      <c r="T100" s="7" t="inlineStr">
        <is>
          <t>NA</t>
        </is>
      </c>
      <c r="U100" s="7" t="inlineStr">
        <is>
          <t>NA</t>
        </is>
      </c>
      <c r="V100" s="7" t="inlineStr">
        <is>
          <t>NA</t>
        </is>
      </c>
      <c r="W100" s="9">
        <f>IF(ISNUMBER($T100),$T100*$J100*Assumptions!$B$4,"NA")</f>
        <v/>
      </c>
      <c r="X100" s="9">
        <f>IF(ISNUMBER($U100),$U100*$J100*Assumptions!$B$4,"NA")</f>
        <v/>
      </c>
      <c r="Y100" s="9">
        <f>IF(ISNUMBER($V100),$V100*$J100*Assumptions!$B$4,"NA")</f>
        <v/>
      </c>
    </row>
    <row r="101">
      <c r="A101" s="5" t="inlineStr">
        <is>
          <t>Austin Engineering</t>
        </is>
      </c>
      <c r="B101" s="11" t="inlineStr">
        <is>
          <t>Dump bodies/truck trays</t>
        </is>
      </c>
      <c r="C101" s="5" t="inlineStr">
        <is>
          <t>Austin Engineering Limited</t>
        </is>
      </c>
      <c r="D101" s="11" t="inlineStr">
        <is>
          <t>Parent/Affiliate</t>
        </is>
      </c>
      <c r="E101" s="5" t="inlineStr">
        <is>
          <t>Australia</t>
        </is>
      </c>
      <c r="F101" s="5" t="n">
        <v>2024</v>
      </c>
      <c r="G101" s="5" t="n">
        <v>5</v>
      </c>
      <c r="H101" s="7" t="n">
        <v>195543.38</v>
      </c>
      <c r="I101" s="5" t="inlineStr">
        <is>
          <t>AUD</t>
        </is>
      </c>
      <c r="J101" s="8">
        <f>IF($I101="AUD",Assumptions!$B$2,Assumptions!$B$3)</f>
        <v/>
      </c>
      <c r="K101" s="9">
        <f>$G101*$H101*$J101</f>
        <v/>
      </c>
      <c r="L101" s="9">
        <f>$K101*Assumptions!$B$4</f>
        <v/>
      </c>
      <c r="M101" s="9">
        <f>RawTx[[#This Row],[Value USD]]/RawTx[[#This Row],[Quantity]]</f>
        <v/>
      </c>
      <c r="N101" s="9">
        <f>RawTx[[#This Row],[Value IDR]]/RawTx[[#This Row],[Quantity]]</f>
        <v/>
      </c>
      <c r="O101" s="4" t="inlineStr">
        <is>
          <t>930 HPT MAX STD C/W ACCESSORIES PO REFERENCE : 014834116, 3014834121, 3</t>
        </is>
      </c>
      <c r="P101" s="5" t="inlineStr">
        <is>
          <t>Komatsu</t>
        </is>
      </c>
      <c r="Q101" s="14" t="inlineStr">
        <is>
          <t>930</t>
        </is>
      </c>
      <c r="R101" s="7" t="n">
        <v>154880</v>
      </c>
      <c r="S101" s="7">
        <f>IFERROR($R101/$G101,"")</f>
        <v/>
      </c>
      <c r="T101" s="7" t="n">
        <v>29832.6</v>
      </c>
      <c r="U101" s="7" t="n">
        <v>3073.81</v>
      </c>
      <c r="V101" s="7" t="n">
        <v>1469590</v>
      </c>
      <c r="W101" s="9">
        <f>IF(ISNUMBER($T101),$T101*$J101*Assumptions!$B$4,"NA")</f>
        <v/>
      </c>
      <c r="X101" s="9">
        <f>IF(ISNUMBER($U101),$U101*$J101*Assumptions!$B$4,"NA")</f>
        <v/>
      </c>
      <c r="Y101" s="9">
        <f>IF(ISNUMBER($V101),$V101*$J101*Assumptions!$B$4,"NA")</f>
        <v/>
      </c>
    </row>
    <row r="102">
      <c r="A102" s="5" t="inlineStr">
        <is>
          <t>Austin Engineering</t>
        </is>
      </c>
      <c r="B102" s="11" t="inlineStr">
        <is>
          <t>Dump bodies/truck trays</t>
        </is>
      </c>
      <c r="C102" s="5" t="inlineStr">
        <is>
          <t>Austin Engineering Limited</t>
        </is>
      </c>
      <c r="D102" s="11" t="inlineStr">
        <is>
          <t>Parent/Affiliate</t>
        </is>
      </c>
      <c r="E102" s="5" t="inlineStr">
        <is>
          <t>Australia</t>
        </is>
      </c>
      <c r="F102" s="5" t="n">
        <v>2024</v>
      </c>
      <c r="G102" s="5" t="n">
        <v>2</v>
      </c>
      <c r="H102" s="7" t="n">
        <v>212753.34</v>
      </c>
      <c r="I102" s="5" t="inlineStr">
        <is>
          <t>AUD</t>
        </is>
      </c>
      <c r="J102" s="8">
        <f>IF($I102="AUD",Assumptions!$B$2,Assumptions!$B$3)</f>
        <v/>
      </c>
      <c r="K102" s="9">
        <f>$G102*$H102*$J102</f>
        <v/>
      </c>
      <c r="L102" s="9">
        <f>$K102*Assumptions!$B$4</f>
        <v/>
      </c>
      <c r="M102" s="9">
        <f>RawTx[[#This Row],[Value USD]]/RawTx[[#This Row],[Quantity]]</f>
        <v/>
      </c>
      <c r="N102" s="9">
        <f>RawTx[[#This Row],[Value IDR]]/RawTx[[#This Row],[Quantity]]</f>
        <v/>
      </c>
      <c r="O102" s="4" t="inlineStr">
        <is>
          <t>CATERPILLAR 785C TRUCK BODY C/W BODY ADDITION</t>
        </is>
      </c>
      <c r="P102" s="5" t="inlineStr">
        <is>
          <t>Caterpillar</t>
        </is>
      </c>
      <c r="Q102" s="13" t="inlineStr">
        <is>
          <t>785C</t>
        </is>
      </c>
      <c r="R102" s="7" t="n">
        <v>42066</v>
      </c>
      <c r="S102" s="7">
        <f>IFERROR($R102/$G102,"")</f>
        <v/>
      </c>
      <c r="T102" s="7" t="n">
        <v>12983.3</v>
      </c>
      <c r="U102" s="7" t="n">
        <v>1337.74</v>
      </c>
      <c r="V102" s="7" t="n">
        <v>639572</v>
      </c>
      <c r="W102" s="9">
        <f>IF(ISNUMBER($T102),$T102*$J102*Assumptions!$B$4,"NA")</f>
        <v/>
      </c>
      <c r="X102" s="9">
        <f>IF(ISNUMBER($U102),$U102*$J102*Assumptions!$B$4,"NA")</f>
        <v/>
      </c>
      <c r="Y102" s="9">
        <f>IF(ISNUMBER($V102),$V102*$J102*Assumptions!$B$4,"NA")</f>
        <v/>
      </c>
    </row>
    <row r="103">
      <c r="A103" s="5" t="inlineStr">
        <is>
          <t>Austin Engineering</t>
        </is>
      </c>
      <c r="B103" s="11" t="inlineStr">
        <is>
          <t>Dump bodies/truck trays</t>
        </is>
      </c>
      <c r="C103" s="5" t="inlineStr">
        <is>
          <t>Austin Engineering Limited</t>
        </is>
      </c>
      <c r="D103" s="11" t="inlineStr">
        <is>
          <t>Parent/Affiliate</t>
        </is>
      </c>
      <c r="E103" s="5" t="inlineStr">
        <is>
          <t>Australia</t>
        </is>
      </c>
      <c r="F103" s="5" t="n">
        <v>2024</v>
      </c>
      <c r="G103" s="5" t="n">
        <v>2</v>
      </c>
      <c r="H103" s="7" t="n">
        <v>159893</v>
      </c>
      <c r="I103" s="5" t="inlineStr">
        <is>
          <t>AUD</t>
        </is>
      </c>
      <c r="J103" s="8">
        <f>IF($I103="AUD",Assumptions!$B$2,Assumptions!$B$3)</f>
        <v/>
      </c>
      <c r="K103" s="9">
        <f>$G103*$H103*$J103</f>
        <v/>
      </c>
      <c r="L103" s="9">
        <f>$K103*Assumptions!$B$4</f>
        <v/>
      </c>
      <c r="M103" s="9">
        <f>RawTx[[#This Row],[Value USD]]/RawTx[[#This Row],[Quantity]]</f>
        <v/>
      </c>
      <c r="N103" s="9">
        <f>RawTx[[#This Row],[Value IDR]]/RawTx[[#This Row],[Quantity]]</f>
        <v/>
      </c>
      <c r="O103" s="4" t="inlineStr">
        <is>
          <t>CATERPILLAR 785C TRUCK BODY C/W BODY ADDITION</t>
        </is>
      </c>
      <c r="P103" s="5" t="inlineStr">
        <is>
          <t>Caterpillar</t>
        </is>
      </c>
      <c r="Q103" s="13" t="inlineStr">
        <is>
          <t>785C</t>
        </is>
      </c>
      <c r="R103" s="7" t="n">
        <v>42066</v>
      </c>
      <c r="S103" s="7">
        <f>IFERROR($R103/$G103,"")</f>
        <v/>
      </c>
      <c r="T103" s="7" t="n">
        <v>12983.3</v>
      </c>
      <c r="U103" s="7" t="n">
        <v>1337.74</v>
      </c>
      <c r="V103" s="7" t="n">
        <v>639572</v>
      </c>
      <c r="W103" s="9">
        <f>IF(ISNUMBER($T103),$T103*$J103*Assumptions!$B$4,"NA")</f>
        <v/>
      </c>
      <c r="X103" s="9">
        <f>IF(ISNUMBER($U103),$U103*$J103*Assumptions!$B$4,"NA")</f>
        <v/>
      </c>
      <c r="Y103" s="9">
        <f>IF(ISNUMBER($V103),$V103*$J103*Assumptions!$B$4,"NA")</f>
        <v/>
      </c>
    </row>
    <row r="104">
      <c r="A104" s="5" t="inlineStr">
        <is>
          <t>Austin Engineering</t>
        </is>
      </c>
      <c r="B104" s="11" t="inlineStr">
        <is>
          <t>Dump bodies/truck trays</t>
        </is>
      </c>
      <c r="C104" s="5" t="inlineStr">
        <is>
          <t>Austin Engineering Limited</t>
        </is>
      </c>
      <c r="D104" s="11" t="inlineStr">
        <is>
          <t>Parent/Affiliate</t>
        </is>
      </c>
      <c r="E104" s="5" t="inlineStr">
        <is>
          <t>Australia</t>
        </is>
      </c>
      <c r="F104" s="5" t="n">
        <v>2024</v>
      </c>
      <c r="G104" s="5" t="n">
        <v>5</v>
      </c>
      <c r="H104" s="7" t="n">
        <v>58783.6</v>
      </c>
      <c r="I104" s="5" t="inlineStr">
        <is>
          <t>AUD</t>
        </is>
      </c>
      <c r="J104" s="8">
        <f>IF($I104="AUD",Assumptions!$B$2,Assumptions!$B$3)</f>
        <v/>
      </c>
      <c r="K104" s="9">
        <f>$G104*$H104*$J104</f>
        <v/>
      </c>
      <c r="L104" s="9">
        <f>$K104*Assumptions!$B$4</f>
        <v/>
      </c>
      <c r="M104" s="9">
        <f>RawTx[[#This Row],[Value USD]]/RawTx[[#This Row],[Quantity]]</f>
        <v/>
      </c>
      <c r="N104" s="9">
        <f>RawTx[[#This Row],[Value IDR]]/RawTx[[#This Row],[Quantity]]</f>
        <v/>
      </c>
      <c r="O104" s="4" t="inlineStr">
        <is>
          <t>930 HPT MAX STD C/W ACCESSORIES PO REFERENCE : 3014833474, 3014834112,</t>
        </is>
      </c>
      <c r="P104" s="5" t="inlineStr">
        <is>
          <t>Komatsu</t>
        </is>
      </c>
      <c r="Q104" s="14" t="inlineStr">
        <is>
          <t>930</t>
        </is>
      </c>
      <c r="R104" s="7" t="n">
        <v>154880</v>
      </c>
      <c r="S104" s="7">
        <f>IFERROR($R104/$G104,"")</f>
        <v/>
      </c>
      <c r="T104" s="7" t="n">
        <v>29832.6</v>
      </c>
      <c r="U104" s="7" t="n">
        <v>3073.81</v>
      </c>
      <c r="V104" s="7" t="n">
        <v>1469590</v>
      </c>
      <c r="W104" s="9">
        <f>IF(ISNUMBER($T104),$T104*$J104*Assumptions!$B$4,"NA")</f>
        <v/>
      </c>
      <c r="X104" s="9">
        <f>IF(ISNUMBER($U104),$U104*$J104*Assumptions!$B$4,"NA")</f>
        <v/>
      </c>
      <c r="Y104" s="9">
        <f>IF(ISNUMBER($V104),$V104*$J104*Assumptions!$B$4,"NA")</f>
        <v/>
      </c>
    </row>
    <row r="105">
      <c r="A105" s="5" t="inlineStr">
        <is>
          <t>Austin Engineering</t>
        </is>
      </c>
      <c r="B105" s="11" t="inlineStr">
        <is>
          <t>Dump bodies/truck trays</t>
        </is>
      </c>
      <c r="C105" s="5" t="inlineStr">
        <is>
          <t>Austin Engineering Limited</t>
        </is>
      </c>
      <c r="D105" s="11" t="inlineStr">
        <is>
          <t>Parent/Affiliate</t>
        </is>
      </c>
      <c r="E105" s="5" t="inlineStr">
        <is>
          <t>Australia</t>
        </is>
      </c>
      <c r="F105" s="5" t="n">
        <v>2024</v>
      </c>
      <c r="G105" s="5" t="n">
        <v>5</v>
      </c>
      <c r="H105" s="7" t="n">
        <v>195543.38</v>
      </c>
      <c r="I105" s="5" t="inlineStr">
        <is>
          <t>AUD</t>
        </is>
      </c>
      <c r="J105" s="8">
        <f>IF($I105="AUD",Assumptions!$B$2,Assumptions!$B$3)</f>
        <v/>
      </c>
      <c r="K105" s="9">
        <f>$G105*$H105*$J105</f>
        <v/>
      </c>
      <c r="L105" s="9">
        <f>$K105*Assumptions!$B$4</f>
        <v/>
      </c>
      <c r="M105" s="9">
        <f>RawTx[[#This Row],[Value USD]]/RawTx[[#This Row],[Quantity]]</f>
        <v/>
      </c>
      <c r="N105" s="9">
        <f>RawTx[[#This Row],[Value IDR]]/RawTx[[#This Row],[Quantity]]</f>
        <v/>
      </c>
      <c r="O105" s="4" t="inlineStr">
        <is>
          <t>930 HPT MAX STD C/W ACCESSORIES PO REFERENCE : 3014833474, 3014834112,</t>
        </is>
      </c>
      <c r="P105" s="5" t="inlineStr">
        <is>
          <t>Komatsu</t>
        </is>
      </c>
      <c r="Q105" s="14" t="inlineStr">
        <is>
          <t>930</t>
        </is>
      </c>
      <c r="R105" s="7" t="n">
        <v>154880</v>
      </c>
      <c r="S105" s="7">
        <f>IFERROR($R105/$G105,"")</f>
        <v/>
      </c>
      <c r="T105" s="7" t="n">
        <v>29832.6</v>
      </c>
      <c r="U105" s="7" t="n">
        <v>3073.81</v>
      </c>
      <c r="V105" s="7" t="n">
        <v>1469590</v>
      </c>
      <c r="W105" s="9">
        <f>IF(ISNUMBER($T105),$T105*$J105*Assumptions!$B$4,"NA")</f>
        <v/>
      </c>
      <c r="X105" s="9">
        <f>IF(ISNUMBER($U105),$U105*$J105*Assumptions!$B$4,"NA")</f>
        <v/>
      </c>
      <c r="Y105" s="9">
        <f>IF(ISNUMBER($V105),$V105*$J105*Assumptions!$B$4,"NA")</f>
        <v/>
      </c>
    </row>
    <row r="106">
      <c r="A106" s="5" t="inlineStr">
        <is>
          <t>Austin Engineering</t>
        </is>
      </c>
      <c r="B106" s="11" t="inlineStr">
        <is>
          <t>Dump bodies/truck trays</t>
        </is>
      </c>
      <c r="C106" s="5" t="inlineStr">
        <is>
          <t>Austin Engineering Limited</t>
        </is>
      </c>
      <c r="D106" s="11" t="inlineStr">
        <is>
          <t>Parent/Affiliate</t>
        </is>
      </c>
      <c r="E106" s="5" t="inlineStr">
        <is>
          <t>Australia</t>
        </is>
      </c>
      <c r="F106" s="5" t="n">
        <v>2024</v>
      </c>
      <c r="G106" s="5" t="n">
        <v>5</v>
      </c>
      <c r="H106" s="7" t="n">
        <v>58783.6</v>
      </c>
      <c r="I106" s="5" t="inlineStr">
        <is>
          <t>AUD</t>
        </is>
      </c>
      <c r="J106" s="8">
        <f>IF($I106="AUD",Assumptions!$B$2,Assumptions!$B$3)</f>
        <v/>
      </c>
      <c r="K106" s="9">
        <f>$G106*$H106*$J106</f>
        <v/>
      </c>
      <c r="L106" s="9">
        <f>$K106*Assumptions!$B$4</f>
        <v/>
      </c>
      <c r="M106" s="9">
        <f>RawTx[[#This Row],[Value USD]]/RawTx[[#This Row],[Quantity]]</f>
        <v/>
      </c>
      <c r="N106" s="9">
        <f>RawTx[[#This Row],[Value IDR]]/RawTx[[#This Row],[Quantity]]</f>
        <v/>
      </c>
      <c r="O106" s="4" t="inlineStr">
        <is>
          <t>930 HPT MAX STD C/W ACCESSORIES PO REFERENCE : 014834116, 3014834121, 3</t>
        </is>
      </c>
      <c r="P106" s="5" t="inlineStr">
        <is>
          <t>Komatsu</t>
        </is>
      </c>
      <c r="Q106" s="14" t="inlineStr">
        <is>
          <t>930</t>
        </is>
      </c>
      <c r="R106" s="7" t="n">
        <v>154880</v>
      </c>
      <c r="S106" s="7">
        <f>IFERROR($R106/$G106,"")</f>
        <v/>
      </c>
      <c r="T106" s="7" t="n">
        <v>29832.6</v>
      </c>
      <c r="U106" s="7" t="n">
        <v>3073.81</v>
      </c>
      <c r="V106" s="7" t="n">
        <v>1469590</v>
      </c>
      <c r="W106" s="9">
        <f>IF(ISNUMBER($T106),$T106*$J106*Assumptions!$B$4,"NA")</f>
        <v/>
      </c>
      <c r="X106" s="9">
        <f>IF(ISNUMBER($U106),$U106*$J106*Assumptions!$B$4,"NA")</f>
        <v/>
      </c>
      <c r="Y106" s="9">
        <f>IF(ISNUMBER($V106),$V106*$J106*Assumptions!$B$4,"NA")</f>
        <v/>
      </c>
    </row>
    <row r="107">
      <c r="A107" s="5" t="inlineStr">
        <is>
          <t>Austin Engineering</t>
        </is>
      </c>
      <c r="B107" s="11" t="inlineStr">
        <is>
          <t>Dump bodies/truck trays</t>
        </is>
      </c>
      <c r="C107" s="5" t="inlineStr">
        <is>
          <t>Austin Engineering Limited</t>
        </is>
      </c>
      <c r="D107" s="11" t="inlineStr">
        <is>
          <t>Parent/Affiliate</t>
        </is>
      </c>
      <c r="E107" s="5" t="inlineStr">
        <is>
          <t>Australia</t>
        </is>
      </c>
      <c r="F107" s="5" t="n">
        <v>2024</v>
      </c>
      <c r="G107" s="5" t="n">
        <v>6</v>
      </c>
      <c r="H107" s="7" t="n">
        <v>192842</v>
      </c>
      <c r="I107" s="5" t="inlineStr">
        <is>
          <t>AUD</t>
        </is>
      </c>
      <c r="J107" s="8">
        <f>IF($I107="AUD",Assumptions!$B$2,Assumptions!$B$3)</f>
        <v/>
      </c>
      <c r="K107" s="9">
        <f>$G107*$H107*$J107</f>
        <v/>
      </c>
      <c r="L107" s="9">
        <f>$K107*Assumptions!$B$4</f>
        <v/>
      </c>
      <c r="M107" s="9">
        <f>RawTx[[#This Row],[Value USD]]/RawTx[[#This Row],[Quantity]]</f>
        <v/>
      </c>
      <c r="N107" s="9">
        <f>RawTx[[#This Row],[Value IDR]]/RawTx[[#This Row],[Quantity]]</f>
        <v/>
      </c>
      <c r="O107" s="4" t="inlineStr">
        <is>
          <t>830E HPT MAX STD C/W ACCESSORIES : 014833529, 3014833566, 3014833672, 30</t>
        </is>
      </c>
      <c r="P107" s="5" t="inlineStr">
        <is>
          <t>Komatsu</t>
        </is>
      </c>
      <c r="Q107" s="13" t="inlineStr">
        <is>
          <t>830E</t>
        </is>
      </c>
      <c r="R107" s="7" t="n">
        <v>162984</v>
      </c>
      <c r="S107" s="7">
        <f>IFERROR($R107/$G107,"")</f>
        <v/>
      </c>
      <c r="T107" s="7" t="n">
        <v>34938.2</v>
      </c>
      <c r="U107" s="7" t="n">
        <v>3599.86</v>
      </c>
      <c r="V107" s="7" t="n">
        <v>1721090</v>
      </c>
      <c r="W107" s="9">
        <f>IF(ISNUMBER($T107),$T107*$J107*Assumptions!$B$4,"NA")</f>
        <v/>
      </c>
      <c r="X107" s="9">
        <f>IF(ISNUMBER($U107),$U107*$J107*Assumptions!$B$4,"NA")</f>
        <v/>
      </c>
      <c r="Y107" s="9">
        <f>IF(ISNUMBER($V107),$V107*$J107*Assumptions!$B$4,"NA")</f>
        <v/>
      </c>
    </row>
    <row r="108">
      <c r="A108" s="5" t="inlineStr">
        <is>
          <t>Austin Engineering</t>
        </is>
      </c>
      <c r="B108" s="11" t="inlineStr">
        <is>
          <t>Dump bodies/truck trays</t>
        </is>
      </c>
      <c r="C108" s="5" t="inlineStr">
        <is>
          <t>Austin Engineering Limited</t>
        </is>
      </c>
      <c r="D108" s="11" t="inlineStr">
        <is>
          <t>Parent/Affiliate</t>
        </is>
      </c>
      <c r="E108" s="5" t="inlineStr">
        <is>
          <t>Australia</t>
        </is>
      </c>
      <c r="F108" s="5" t="n">
        <v>2024</v>
      </c>
      <c r="G108" s="5" t="n">
        <v>4</v>
      </c>
      <c r="H108" s="7" t="n">
        <v>216064</v>
      </c>
      <c r="I108" s="5" t="inlineStr">
        <is>
          <t>AUD</t>
        </is>
      </c>
      <c r="J108" s="8">
        <f>IF($I108="AUD",Assumptions!$B$2,Assumptions!$B$3)</f>
        <v/>
      </c>
      <c r="K108" s="9">
        <f>$G108*$H108*$J108</f>
        <v/>
      </c>
      <c r="L108" s="9">
        <f>$K108*Assumptions!$B$4</f>
        <v/>
      </c>
      <c r="M108" s="9">
        <f>RawTx[[#This Row],[Value USD]]/RawTx[[#This Row],[Quantity]]</f>
        <v/>
      </c>
      <c r="N108" s="9">
        <f>RawTx[[#This Row],[Value IDR]]/RawTx[[#This Row],[Quantity]]</f>
        <v/>
      </c>
      <c r="O108" s="4" t="inlineStr">
        <is>
          <t>HITACHI EH4000AC-3 DUMP BODY INCLUDES BODY ADDITION</t>
        </is>
      </c>
      <c r="P108" s="5" t="inlineStr">
        <is>
          <t>Hitachi</t>
        </is>
      </c>
      <c r="Q108" s="13" t="inlineStr">
        <is>
          <t>EH4000AC-3</t>
        </is>
      </c>
      <c r="R108" s="7" t="n">
        <v>131236</v>
      </c>
      <c r="S108" s="7">
        <f>IFERROR($R108/$G108,"")</f>
        <v/>
      </c>
      <c r="T108" s="7" t="n">
        <v>26096.9</v>
      </c>
      <c r="U108" s="7" t="n">
        <v>2688.9</v>
      </c>
      <c r="V108" s="7" t="n">
        <v>1285560</v>
      </c>
      <c r="W108" s="9">
        <f>IF(ISNUMBER($T108),$T108*$J108*Assumptions!$B$4,"NA")</f>
        <v/>
      </c>
      <c r="X108" s="9">
        <f>IF(ISNUMBER($U108),$U108*$J108*Assumptions!$B$4,"NA")</f>
        <v/>
      </c>
      <c r="Y108" s="9">
        <f>IF(ISNUMBER($V108),$V108*$J108*Assumptions!$B$4,"NA")</f>
        <v/>
      </c>
    </row>
    <row r="109">
      <c r="A109" s="5" t="inlineStr">
        <is>
          <t>Austin Engineering</t>
        </is>
      </c>
      <c r="B109" s="11" t="inlineStr">
        <is>
          <t>Dump bodies/truck trays</t>
        </is>
      </c>
      <c r="C109" s="5" t="inlineStr">
        <is>
          <t>Austin Engineering Limited</t>
        </is>
      </c>
      <c r="D109" s="11" t="inlineStr">
        <is>
          <t>Parent/Affiliate</t>
        </is>
      </c>
      <c r="E109" s="5" t="inlineStr">
        <is>
          <t>Australia</t>
        </is>
      </c>
      <c r="F109" s="5" t="n">
        <v>2024</v>
      </c>
      <c r="G109" s="5" t="n">
        <v>4</v>
      </c>
      <c r="H109" s="7" t="n">
        <v>192227</v>
      </c>
      <c r="I109" s="5" t="inlineStr">
        <is>
          <t>AUD</t>
        </is>
      </c>
      <c r="J109" s="8">
        <f>IF($I109="AUD",Assumptions!$B$2,Assumptions!$B$3)</f>
        <v/>
      </c>
      <c r="K109" s="9">
        <f>$G109*$H109*$J109</f>
        <v/>
      </c>
      <c r="L109" s="9">
        <f>$K109*Assumptions!$B$4</f>
        <v/>
      </c>
      <c r="M109" s="9">
        <f>RawTx[[#This Row],[Value USD]]/RawTx[[#This Row],[Quantity]]</f>
        <v/>
      </c>
      <c r="N109" s="9">
        <f>RawTx[[#This Row],[Value IDR]]/RawTx[[#This Row],[Quantity]]</f>
        <v/>
      </c>
      <c r="O109" s="4" t="inlineStr">
        <is>
          <t>830E HPT MAX STD C/W ACCESSORIES : 3014833499, 3014833507, 3014833508, 30</t>
        </is>
      </c>
      <c r="P109" s="5" t="inlineStr">
        <is>
          <t>Komatsu</t>
        </is>
      </c>
      <c r="Q109" s="13" t="inlineStr">
        <is>
          <t>830E</t>
        </is>
      </c>
      <c r="R109" s="7" t="n">
        <v>105600</v>
      </c>
      <c r="S109" s="7">
        <f>IFERROR($R109/$G109,"")</f>
        <v/>
      </c>
      <c r="T109" s="7" t="n">
        <v>29449</v>
      </c>
      <c r="U109" s="7" t="n">
        <v>3034.28</v>
      </c>
      <c r="V109" s="7" t="n">
        <v>1147390</v>
      </c>
      <c r="W109" s="9">
        <f>IF(ISNUMBER($T109),$T109*$J109*Assumptions!$B$4,"NA")</f>
        <v/>
      </c>
      <c r="X109" s="9">
        <f>IF(ISNUMBER($U109),$U109*$J109*Assumptions!$B$4,"NA")</f>
        <v/>
      </c>
      <c r="Y109" s="9">
        <f>IF(ISNUMBER($V109),$V109*$J109*Assumptions!$B$4,"NA")</f>
        <v/>
      </c>
    </row>
    <row r="110">
      <c r="A110" s="5" t="inlineStr">
        <is>
          <t>Austin Engineering</t>
        </is>
      </c>
      <c r="B110" s="11" t="inlineStr">
        <is>
          <t>Dump bodies/truck trays</t>
        </is>
      </c>
      <c r="C110" s="5" t="inlineStr">
        <is>
          <t>Austin Engineering Limited</t>
        </is>
      </c>
      <c r="D110" s="11" t="inlineStr">
        <is>
          <t>Parent/Affiliate</t>
        </is>
      </c>
      <c r="E110" s="5" t="inlineStr">
        <is>
          <t>Australia</t>
        </is>
      </c>
      <c r="F110" s="5" t="n">
        <v>2024</v>
      </c>
      <c r="G110" s="5" t="n">
        <v>1</v>
      </c>
      <c r="H110" s="7" t="n">
        <v>203247</v>
      </c>
      <c r="I110" s="5" t="inlineStr">
        <is>
          <t>AUD</t>
        </is>
      </c>
      <c r="J110" s="8">
        <f>IF($I110="AUD",Assumptions!$B$2,Assumptions!$B$3)</f>
        <v/>
      </c>
      <c r="K110" s="9">
        <f>$G110*$H110*$J110</f>
        <v/>
      </c>
      <c r="L110" s="9">
        <f>$K110*Assumptions!$B$4</f>
        <v/>
      </c>
      <c r="M110" s="9">
        <f>RawTx[[#This Row],[Value USD]]/RawTx[[#This Row],[Quantity]]</f>
        <v/>
      </c>
      <c r="N110" s="9">
        <f>RawTx[[#This Row],[Value IDR]]/RawTx[[#This Row],[Quantity]]</f>
        <v/>
      </c>
      <c r="O110" s="4" t="inlineStr">
        <is>
          <t>830E HPT MAX STD C/W ACCESSORIES : 3014833513</t>
        </is>
      </c>
      <c r="P110" s="5" t="inlineStr">
        <is>
          <t>Komatsu</t>
        </is>
      </c>
      <c r="Q110" s="13" t="inlineStr">
        <is>
          <t>830E</t>
        </is>
      </c>
      <c r="R110" s="7" t="n">
        <v>26400</v>
      </c>
      <c r="S110" s="7">
        <f>IFERROR($R110/$G110,"")</f>
        <v/>
      </c>
      <c r="T110" s="7" t="n">
        <v>29449</v>
      </c>
      <c r="U110" s="7" t="n">
        <v>3034.28</v>
      </c>
      <c r="V110" s="7" t="n">
        <v>303293</v>
      </c>
      <c r="W110" s="9">
        <f>IF(ISNUMBER($T110),$T110*$J110*Assumptions!$B$4,"NA")</f>
        <v/>
      </c>
      <c r="X110" s="9">
        <f>IF(ISNUMBER($U110),$U110*$J110*Assumptions!$B$4,"NA")</f>
        <v/>
      </c>
      <c r="Y110" s="9">
        <f>IF(ISNUMBER($V110),$V110*$J110*Assumptions!$B$4,"NA")</f>
        <v/>
      </c>
    </row>
    <row r="111">
      <c r="A111" s="5" t="inlineStr">
        <is>
          <t>Austin Engineering</t>
        </is>
      </c>
      <c r="B111" s="11" t="inlineStr">
        <is>
          <t>Dump bodies/truck trays</t>
        </is>
      </c>
      <c r="C111" s="5" t="inlineStr">
        <is>
          <t>Austin Engineering Limited</t>
        </is>
      </c>
      <c r="D111" s="11" t="inlineStr">
        <is>
          <t>Parent/Affiliate</t>
        </is>
      </c>
      <c r="E111" s="5" t="inlineStr">
        <is>
          <t>Australia</t>
        </is>
      </c>
      <c r="F111" s="5" t="n">
        <v>2024</v>
      </c>
      <c r="G111" s="5" t="n">
        <v>5</v>
      </c>
      <c r="H111" s="7" t="n">
        <v>192226</v>
      </c>
      <c r="I111" s="5" t="inlineStr">
        <is>
          <t>AUD</t>
        </is>
      </c>
      <c r="J111" s="8">
        <f>IF($I111="AUD",Assumptions!$B$2,Assumptions!$B$3)</f>
        <v/>
      </c>
      <c r="K111" s="9">
        <f>$G111*$H111*$J111</f>
        <v/>
      </c>
      <c r="L111" s="9">
        <f>$K111*Assumptions!$B$4</f>
        <v/>
      </c>
      <c r="M111" s="9">
        <f>RawTx[[#This Row],[Value USD]]/RawTx[[#This Row],[Quantity]]</f>
        <v/>
      </c>
      <c r="N111" s="9">
        <f>RawTx[[#This Row],[Value IDR]]/RawTx[[#This Row],[Quantity]]</f>
        <v/>
      </c>
      <c r="O111" s="4" t="inlineStr">
        <is>
          <t>830E HPT MAX STD C/W ACCESSORIES : 3014834681, 3014834692, 3014834693, 30</t>
        </is>
      </c>
      <c r="P111" s="5" t="inlineStr">
        <is>
          <t>Komatsu</t>
        </is>
      </c>
      <c r="Q111" s="13" t="inlineStr">
        <is>
          <t>830E</t>
        </is>
      </c>
      <c r="R111" s="7" t="n">
        <v>132000</v>
      </c>
      <c r="S111" s="7">
        <f>IFERROR($R111/$G111,"")</f>
        <v/>
      </c>
      <c r="T111" s="7" t="n">
        <v>29115.1</v>
      </c>
      <c r="U111" s="7" t="n">
        <v>2999.88</v>
      </c>
      <c r="V111" s="7" t="n">
        <v>1434240</v>
      </c>
      <c r="W111" s="9">
        <f>IF(ISNUMBER($T111),$T111*$J111*Assumptions!$B$4,"NA")</f>
        <v/>
      </c>
      <c r="X111" s="9">
        <f>IF(ISNUMBER($U111),$U111*$J111*Assumptions!$B$4,"NA")</f>
        <v/>
      </c>
      <c r="Y111" s="9">
        <f>IF(ISNUMBER($V111),$V111*$J111*Assumptions!$B$4,"NA")</f>
        <v/>
      </c>
    </row>
    <row r="112">
      <c r="A112" s="5" t="inlineStr">
        <is>
          <t>Austin Engineering</t>
        </is>
      </c>
      <c r="B112" s="11" t="inlineStr">
        <is>
          <t>Dump bodies/truck trays</t>
        </is>
      </c>
      <c r="C112" s="5" t="inlineStr">
        <is>
          <t>Austin Engineering Limited</t>
        </is>
      </c>
      <c r="D112" s="11" t="inlineStr">
        <is>
          <t>Parent/Affiliate</t>
        </is>
      </c>
      <c r="E112" s="5" t="inlineStr">
        <is>
          <t>Australia</t>
        </is>
      </c>
      <c r="F112" s="5" t="n">
        <v>2024</v>
      </c>
      <c r="G112" s="5" t="n">
        <v>5</v>
      </c>
      <c r="H112" s="7" t="n">
        <v>190423.4</v>
      </c>
      <c r="I112" s="5" t="inlineStr">
        <is>
          <t>AUD</t>
        </is>
      </c>
      <c r="J112" s="8">
        <f>IF($I112="AUD",Assumptions!$B$2,Assumptions!$B$3)</f>
        <v/>
      </c>
      <c r="K112" s="9">
        <f>$G112*$H112*$J112</f>
        <v/>
      </c>
      <c r="L112" s="9">
        <f>$K112*Assumptions!$B$4</f>
        <v/>
      </c>
      <c r="M112" s="9">
        <f>RawTx[[#This Row],[Value USD]]/RawTx[[#This Row],[Quantity]]</f>
        <v/>
      </c>
      <c r="N112" s="9">
        <f>RawTx[[#This Row],[Value IDR]]/RawTx[[#This Row],[Quantity]]</f>
        <v/>
      </c>
      <c r="O112" s="4" t="inlineStr">
        <is>
          <t>830E HPT MAX STD C/W ACCESSORIES : 3014834427 ,3014834430, 3014834670,</t>
        </is>
      </c>
      <c r="P112" s="5" t="inlineStr">
        <is>
          <t>Komatsu</t>
        </is>
      </c>
      <c r="Q112" s="13" t="inlineStr">
        <is>
          <t>830E</t>
        </is>
      </c>
      <c r="R112" s="7" t="n">
        <v>132000</v>
      </c>
      <c r="S112" s="7">
        <f>IFERROR($R112/$G112,"")</f>
        <v/>
      </c>
      <c r="T112" s="7" t="n">
        <v>29115.1</v>
      </c>
      <c r="U112" s="7" t="n">
        <v>2999.88</v>
      </c>
      <c r="V112" s="7" t="n">
        <v>1434240</v>
      </c>
      <c r="W112" s="9">
        <f>IF(ISNUMBER($T112),$T112*$J112*Assumptions!$B$4,"NA")</f>
        <v/>
      </c>
      <c r="X112" s="9">
        <f>IF(ISNUMBER($U112),$U112*$J112*Assumptions!$B$4,"NA")</f>
        <v/>
      </c>
      <c r="Y112" s="9">
        <f>IF(ISNUMBER($V112),$V112*$J112*Assumptions!$B$4,"NA")</f>
        <v/>
      </c>
    </row>
    <row r="113">
      <c r="A113" s="5" t="inlineStr">
        <is>
          <t>Austin Engineering</t>
        </is>
      </c>
      <c r="B113" s="11" t="inlineStr">
        <is>
          <t>Dump bodies/truck trays</t>
        </is>
      </c>
      <c r="C113" s="5" t="inlineStr">
        <is>
          <t>Austin Engineering Limited</t>
        </is>
      </c>
      <c r="D113" s="11" t="inlineStr">
        <is>
          <t>Parent/Affiliate</t>
        </is>
      </c>
      <c r="E113" s="5" t="inlineStr">
        <is>
          <t>Australia</t>
        </is>
      </c>
      <c r="F113" s="5" t="n">
        <v>2024</v>
      </c>
      <c r="G113" s="5" t="n">
        <v>4</v>
      </c>
      <c r="H113" s="7" t="n">
        <v>190660</v>
      </c>
      <c r="I113" s="5" t="inlineStr">
        <is>
          <t>AUD</t>
        </is>
      </c>
      <c r="J113" s="8">
        <f>IF($I113="AUD",Assumptions!$B$2,Assumptions!$B$3)</f>
        <v/>
      </c>
      <c r="K113" s="9">
        <f>$G113*$H113*$J113</f>
        <v/>
      </c>
      <c r="L113" s="9">
        <f>$K113*Assumptions!$B$4</f>
        <v/>
      </c>
      <c r="M113" s="9">
        <f>RawTx[[#This Row],[Value USD]]/RawTx[[#This Row],[Quantity]]</f>
        <v/>
      </c>
      <c r="N113" s="9">
        <f>RawTx[[#This Row],[Value IDR]]/RawTx[[#This Row],[Quantity]]</f>
        <v/>
      </c>
      <c r="O113" s="4" t="inlineStr">
        <is>
          <t>830E HPT MAX STD C/W ACCESSORIES PO REFERENCE : 3014834406 ,3014834411</t>
        </is>
      </c>
      <c r="P113" s="5" t="inlineStr">
        <is>
          <t>Komatsu</t>
        </is>
      </c>
      <c r="Q113" s="13" t="inlineStr">
        <is>
          <t>830E</t>
        </is>
      </c>
      <c r="R113" s="7" t="n">
        <v>105600</v>
      </c>
      <c r="S113" s="7">
        <f>IFERROR($R113/$G113,"")</f>
        <v/>
      </c>
      <c r="T113" s="7" t="n">
        <v>29949.7</v>
      </c>
      <c r="U113" s="7" t="n">
        <v>3085.87</v>
      </c>
      <c r="V113" s="7" t="n">
        <v>1147390</v>
      </c>
      <c r="W113" s="9">
        <f>IF(ISNUMBER($T113),$T113*$J113*Assumptions!$B$4,"NA")</f>
        <v/>
      </c>
      <c r="X113" s="9">
        <f>IF(ISNUMBER($U113),$U113*$J113*Assumptions!$B$4,"NA")</f>
        <v/>
      </c>
      <c r="Y113" s="9">
        <f>IF(ISNUMBER($V113),$V113*$J113*Assumptions!$B$4,"NA")</f>
        <v/>
      </c>
    </row>
    <row r="114">
      <c r="A114" s="5" t="inlineStr">
        <is>
          <t>Austin Engineering</t>
        </is>
      </c>
      <c r="B114" s="11" t="inlineStr">
        <is>
          <t>Dump bodies/truck trays</t>
        </is>
      </c>
      <c r="C114" s="5" t="inlineStr">
        <is>
          <t>Austin Engineering Limited</t>
        </is>
      </c>
      <c r="D114" s="11" t="inlineStr">
        <is>
          <t>Parent/Affiliate</t>
        </is>
      </c>
      <c r="E114" s="5" t="inlineStr">
        <is>
          <t>Australia</t>
        </is>
      </c>
      <c r="F114" s="5" t="n">
        <v>2024</v>
      </c>
      <c r="G114" s="5" t="n">
        <v>1</v>
      </c>
      <c r="H114" s="7" t="n">
        <v>217986</v>
      </c>
      <c r="I114" s="5" t="inlineStr">
        <is>
          <t>AUD</t>
        </is>
      </c>
      <c r="J114" s="8">
        <f>IF($I114="AUD",Assumptions!$B$2,Assumptions!$B$3)</f>
        <v/>
      </c>
      <c r="K114" s="9">
        <f>$G114*$H114*$J114</f>
        <v/>
      </c>
      <c r="L114" s="9">
        <f>$K114*Assumptions!$B$4</f>
        <v/>
      </c>
      <c r="M114" s="9">
        <f>RawTx[[#This Row],[Value USD]]/RawTx[[#This Row],[Quantity]]</f>
        <v/>
      </c>
      <c r="N114" s="9">
        <f>RawTx[[#This Row],[Value IDR]]/RawTx[[#This Row],[Quantity]]</f>
        <v/>
      </c>
      <c r="O114" s="4" t="inlineStr">
        <is>
          <t>830E HPT MAX STD C/W ACCESSORIES PO REFERENCE: 3014834403</t>
        </is>
      </c>
      <c r="P114" s="5" t="inlineStr">
        <is>
          <t>Komatsu</t>
        </is>
      </c>
      <c r="Q114" s="13" t="inlineStr">
        <is>
          <t>830E</t>
        </is>
      </c>
      <c r="R114" s="7" t="n">
        <v>26400</v>
      </c>
      <c r="S114" s="7">
        <f>IFERROR($R114/$G114,"")</f>
        <v/>
      </c>
      <c r="T114" s="7" t="n">
        <v>29949.7</v>
      </c>
      <c r="U114" s="7" t="n">
        <v>3085.87</v>
      </c>
      <c r="V114" s="7" t="n">
        <v>327961</v>
      </c>
      <c r="W114" s="9">
        <f>IF(ISNUMBER($T114),$T114*$J114*Assumptions!$B$4,"NA")</f>
        <v/>
      </c>
      <c r="X114" s="9">
        <f>IF(ISNUMBER($U114),$U114*$J114*Assumptions!$B$4,"NA")</f>
        <v/>
      </c>
      <c r="Y114" s="9">
        <f>IF(ISNUMBER($V114),$V114*$J114*Assumptions!$B$4,"NA")</f>
        <v/>
      </c>
    </row>
    <row r="115">
      <c r="A115" s="5" t="inlineStr">
        <is>
          <t>Austin Engineering</t>
        </is>
      </c>
      <c r="B115" s="11" t="inlineStr">
        <is>
          <t>Dump bodies/truck trays</t>
        </is>
      </c>
      <c r="C115" s="5" t="inlineStr">
        <is>
          <t>Austin Engineering Limited</t>
        </is>
      </c>
      <c r="D115" s="11" t="inlineStr">
        <is>
          <t>Parent/Affiliate</t>
        </is>
      </c>
      <c r="E115" s="5" t="inlineStr">
        <is>
          <t>Australia</t>
        </is>
      </c>
      <c r="F115" s="5" t="n">
        <v>2024</v>
      </c>
      <c r="G115" s="5" t="n">
        <v>5</v>
      </c>
      <c r="H115" s="7" t="n">
        <v>195156.4</v>
      </c>
      <c r="I115" s="5" t="inlineStr">
        <is>
          <t>AUD</t>
        </is>
      </c>
      <c r="J115" s="8">
        <f>IF($I115="AUD",Assumptions!$B$2,Assumptions!$B$3)</f>
        <v/>
      </c>
      <c r="K115" s="9">
        <f>$G115*$H115*$J115</f>
        <v/>
      </c>
      <c r="L115" s="9">
        <f>$K115*Assumptions!$B$4</f>
        <v/>
      </c>
      <c r="M115" s="9">
        <f>RawTx[[#This Row],[Value USD]]/RawTx[[#This Row],[Quantity]]</f>
        <v/>
      </c>
      <c r="N115" s="9">
        <f>RawTx[[#This Row],[Value IDR]]/RawTx[[#This Row],[Quantity]]</f>
        <v/>
      </c>
      <c r="O115" s="4" t="inlineStr">
        <is>
          <t>930 HPT MAX STD PO REFERENCE : 3014833393 , 3014833457, 3014833459, 3014</t>
        </is>
      </c>
      <c r="P115" s="5" t="inlineStr">
        <is>
          <t>Komatsu</t>
        </is>
      </c>
      <c r="Q115" s="14" t="inlineStr">
        <is>
          <t>930</t>
        </is>
      </c>
      <c r="R115" s="7" t="n">
        <v>152380</v>
      </c>
      <c r="S115" s="7">
        <f>IFERROR($R115/$G115,"")</f>
        <v/>
      </c>
      <c r="T115" s="7" t="n">
        <v>29832.6</v>
      </c>
      <c r="U115" s="7" t="n">
        <v>3073.81</v>
      </c>
      <c r="V115" s="7" t="n">
        <v>1469590</v>
      </c>
      <c r="W115" s="9">
        <f>IF(ISNUMBER($T115),$T115*$J115*Assumptions!$B$4,"NA")</f>
        <v/>
      </c>
      <c r="X115" s="9">
        <f>IF(ISNUMBER($U115),$U115*$J115*Assumptions!$B$4,"NA")</f>
        <v/>
      </c>
      <c r="Y115" s="9">
        <f>IF(ISNUMBER($V115),$V115*$J115*Assumptions!$B$4,"NA")</f>
        <v/>
      </c>
    </row>
    <row r="116">
      <c r="A116" s="5" t="inlineStr">
        <is>
          <t>Austin Engineering</t>
        </is>
      </c>
      <c r="B116" s="11" t="inlineStr">
        <is>
          <t>Dump bodies/truck trays</t>
        </is>
      </c>
      <c r="C116" s="5" t="inlineStr">
        <is>
          <t>Austin Engineering Limited</t>
        </is>
      </c>
      <c r="D116" s="11" t="inlineStr">
        <is>
          <t>Parent/Affiliate</t>
        </is>
      </c>
      <c r="E116" s="5" t="inlineStr">
        <is>
          <t>Australia</t>
        </is>
      </c>
      <c r="F116" s="5" t="n">
        <v>2024</v>
      </c>
      <c r="G116" s="5" t="n">
        <v>7</v>
      </c>
      <c r="H116" s="7" t="n">
        <v>262112.86</v>
      </c>
      <c r="I116" s="5" t="inlineStr">
        <is>
          <t>AUD</t>
        </is>
      </c>
      <c r="J116" s="8">
        <f>IF($I116="AUD",Assumptions!$B$2,Assumptions!$B$3)</f>
        <v/>
      </c>
      <c r="K116" s="9">
        <f>$G116*$H116*$J116</f>
        <v/>
      </c>
      <c r="L116" s="9">
        <f>$K116*Assumptions!$B$4</f>
        <v/>
      </c>
      <c r="M116" s="9">
        <f>RawTx[[#This Row],[Value USD]]/RawTx[[#This Row],[Quantity]]</f>
        <v/>
      </c>
      <c r="N116" s="9">
        <f>RawTx[[#This Row],[Value IDR]]/RawTx[[#This Row],[Quantity]]</f>
        <v/>
      </c>
      <c r="O116" s="4" t="inlineStr">
        <is>
          <t>CAPCOAL KOM 830-5 HPT C/W BODY ADDITIONS</t>
        </is>
      </c>
      <c r="P116" s="5" t="inlineStr">
        <is>
          <t>Komatsu</t>
        </is>
      </c>
      <c r="Q116" s="14" t="inlineStr">
        <is>
          <t>830-5</t>
        </is>
      </c>
      <c r="R116" s="7" t="n">
        <v>242431</v>
      </c>
      <c r="S116" s="7">
        <f>IFERROR($R116/$G116,"")</f>
        <v/>
      </c>
      <c r="T116" s="7" t="n">
        <v>56116.8</v>
      </c>
      <c r="U116" s="7" t="n">
        <v>5782.01</v>
      </c>
      <c r="V116" s="7" t="n">
        <v>2764380</v>
      </c>
      <c r="W116" s="9">
        <f>IF(ISNUMBER($T116),$T116*$J116*Assumptions!$B$4,"NA")</f>
        <v/>
      </c>
      <c r="X116" s="9">
        <f>IF(ISNUMBER($U116),$U116*$J116*Assumptions!$B$4,"NA")</f>
        <v/>
      </c>
      <c r="Y116" s="9">
        <f>IF(ISNUMBER($V116),$V116*$J116*Assumptions!$B$4,"NA")</f>
        <v/>
      </c>
    </row>
    <row r="117">
      <c r="A117" s="5" t="inlineStr">
        <is>
          <t>Austin Engineering</t>
        </is>
      </c>
      <c r="B117" s="11" t="inlineStr">
        <is>
          <t>Dump bodies/truck trays</t>
        </is>
      </c>
      <c r="C117" s="5" t="inlineStr">
        <is>
          <t>Austin Engineering Limited</t>
        </is>
      </c>
      <c r="D117" s="11" t="inlineStr">
        <is>
          <t>Parent/Affiliate</t>
        </is>
      </c>
      <c r="E117" s="5" t="inlineStr">
        <is>
          <t>Australia</t>
        </is>
      </c>
      <c r="F117" s="5" t="n">
        <v>2024</v>
      </c>
      <c r="G117" s="5" t="n">
        <v>3</v>
      </c>
      <c r="H117" s="7" t="n">
        <v>190961.67</v>
      </c>
      <c r="I117" s="5" t="inlineStr">
        <is>
          <t>AUD</t>
        </is>
      </c>
      <c r="J117" s="8">
        <f>IF($I117="AUD",Assumptions!$B$2,Assumptions!$B$3)</f>
        <v/>
      </c>
      <c r="K117" s="9">
        <f>$G117*$H117*$J117</f>
        <v/>
      </c>
      <c r="L117" s="9">
        <f>$K117*Assumptions!$B$4</f>
        <v/>
      </c>
      <c r="M117" s="9">
        <f>RawTx[[#This Row],[Value USD]]/RawTx[[#This Row],[Quantity]]</f>
        <v/>
      </c>
      <c r="N117" s="9">
        <f>RawTx[[#This Row],[Value IDR]]/RawTx[[#This Row],[Quantity]]</f>
        <v/>
      </c>
      <c r="O117" s="4" t="inlineStr">
        <is>
          <t>930 HPT MAX STD PO REFERENCE : 3014829299 , 3014829300, 3014829731</t>
        </is>
      </c>
      <c r="P117" s="5" t="inlineStr">
        <is>
          <t>Komatsu</t>
        </is>
      </c>
      <c r="Q117" s="14" t="inlineStr">
        <is>
          <t>930</t>
        </is>
      </c>
      <c r="R117" s="7" t="n">
        <v>91428</v>
      </c>
      <c r="S117" s="7">
        <f>IFERROR($R117/$G117,"")</f>
        <v/>
      </c>
      <c r="T117" s="7" t="n">
        <v>17899.6</v>
      </c>
      <c r="U117" s="7" t="n">
        <v>1844.29</v>
      </c>
      <c r="V117" s="7" t="n">
        <v>881753</v>
      </c>
      <c r="W117" s="9">
        <f>IF(ISNUMBER($T117),$T117*$J117*Assumptions!$B$4,"NA")</f>
        <v/>
      </c>
      <c r="X117" s="9">
        <f>IF(ISNUMBER($U117),$U117*$J117*Assumptions!$B$4,"NA")</f>
        <v/>
      </c>
      <c r="Y117" s="9">
        <f>IF(ISNUMBER($V117),$V117*$J117*Assumptions!$B$4,"NA")</f>
        <v/>
      </c>
    </row>
    <row r="118">
      <c r="A118" s="5" t="inlineStr">
        <is>
          <t>Austin Engineering</t>
        </is>
      </c>
      <c r="B118" s="11" t="inlineStr">
        <is>
          <t>Dump bodies/truck trays</t>
        </is>
      </c>
      <c r="C118" s="5" t="inlineStr">
        <is>
          <t>Austin Engineering Limited</t>
        </is>
      </c>
      <c r="D118" s="11" t="inlineStr">
        <is>
          <t>Parent/Affiliate</t>
        </is>
      </c>
      <c r="E118" s="5" t="inlineStr">
        <is>
          <t>Australia</t>
        </is>
      </c>
      <c r="F118" s="5" t="n">
        <v>2024</v>
      </c>
      <c r="G118" s="5" t="n">
        <v>5</v>
      </c>
      <c r="H118" s="7" t="n">
        <v>188791.6</v>
      </c>
      <c r="I118" s="5" t="inlineStr">
        <is>
          <t>AUD</t>
        </is>
      </c>
      <c r="J118" s="8">
        <f>IF($I118="AUD",Assumptions!$B$2,Assumptions!$B$3)</f>
        <v/>
      </c>
      <c r="K118" s="9">
        <f>$G118*$H118*$J118</f>
        <v/>
      </c>
      <c r="L118" s="9">
        <f>$K118*Assumptions!$B$4</f>
        <v/>
      </c>
      <c r="M118" s="9">
        <f>RawTx[[#This Row],[Value USD]]/RawTx[[#This Row],[Quantity]]</f>
        <v/>
      </c>
      <c r="N118" s="9">
        <f>RawTx[[#This Row],[Value IDR]]/RawTx[[#This Row],[Quantity]]</f>
        <v/>
      </c>
      <c r="O118" s="4" t="inlineStr">
        <is>
          <t>930 HPT MAX STD PO REFERENCE : 3014829263 , 3014829264, 3014829267, 3014</t>
        </is>
      </c>
      <c r="P118" s="5" t="inlineStr">
        <is>
          <t>Komatsu</t>
        </is>
      </c>
      <c r="Q118" s="14" t="inlineStr">
        <is>
          <t>930</t>
        </is>
      </c>
      <c r="R118" s="7" t="n">
        <v>152380</v>
      </c>
      <c r="S118" s="7">
        <f>IFERROR($R118/$G118,"")</f>
        <v/>
      </c>
      <c r="T118" s="7" t="n">
        <v>29832.6</v>
      </c>
      <c r="U118" s="7" t="n">
        <v>3073.81</v>
      </c>
      <c r="V118" s="7" t="n">
        <v>1469590</v>
      </c>
      <c r="W118" s="9">
        <f>IF(ISNUMBER($T118),$T118*$J118*Assumptions!$B$4,"NA")</f>
        <v/>
      </c>
      <c r="X118" s="9">
        <f>IF(ISNUMBER($U118),$U118*$J118*Assumptions!$B$4,"NA")</f>
        <v/>
      </c>
      <c r="Y118" s="9">
        <f>IF(ISNUMBER($V118),$V118*$J118*Assumptions!$B$4,"NA")</f>
        <v/>
      </c>
    </row>
    <row r="119">
      <c r="A119" s="5" t="inlineStr">
        <is>
          <t>Austin Engineering</t>
        </is>
      </c>
      <c r="B119" s="11" t="inlineStr">
        <is>
          <t>Dump bodies/truck trays</t>
        </is>
      </c>
      <c r="C119" s="5" t="inlineStr">
        <is>
          <t>Austin Engineering Limited</t>
        </is>
      </c>
      <c r="D119" s="11" t="inlineStr">
        <is>
          <t>Parent/Affiliate</t>
        </is>
      </c>
      <c r="E119" s="5" t="inlineStr">
        <is>
          <t>Australia</t>
        </is>
      </c>
      <c r="F119" s="5" t="n">
        <v>2024</v>
      </c>
      <c r="G119" s="5" t="n">
        <v>5</v>
      </c>
      <c r="H119" s="7" t="n">
        <v>191892.8</v>
      </c>
      <c r="I119" s="5" t="inlineStr">
        <is>
          <t>AUD</t>
        </is>
      </c>
      <c r="J119" s="8">
        <f>IF($I119="AUD",Assumptions!$B$2,Assumptions!$B$3)</f>
        <v/>
      </c>
      <c r="K119" s="9">
        <f>$G119*$H119*$J119</f>
        <v/>
      </c>
      <c r="L119" s="9">
        <f>$K119*Assumptions!$B$4</f>
        <v/>
      </c>
      <c r="M119" s="9">
        <f>RawTx[[#This Row],[Value USD]]/RawTx[[#This Row],[Quantity]]</f>
        <v/>
      </c>
      <c r="N119" s="9">
        <f>RawTx[[#This Row],[Value IDR]]/RawTx[[#This Row],[Quantity]]</f>
        <v/>
      </c>
      <c r="O119" s="4" t="inlineStr">
        <is>
          <t>930 HPT MAX STD PO REFERENCE : 3014829245 , 3014829250,3014829254,3014829</t>
        </is>
      </c>
      <c r="P119" s="5" t="inlineStr">
        <is>
          <t>Komatsu</t>
        </is>
      </c>
      <c r="Q119" s="14" t="inlineStr">
        <is>
          <t>930</t>
        </is>
      </c>
      <c r="R119" s="7" t="n">
        <v>152380</v>
      </c>
      <c r="S119" s="7">
        <f>IFERROR($R119/$G119,"")</f>
        <v/>
      </c>
      <c r="T119" s="7" t="n">
        <v>71600.7</v>
      </c>
      <c r="U119" s="7" t="n">
        <v>7377.39</v>
      </c>
      <c r="V119" s="7" t="n">
        <v>1469590</v>
      </c>
      <c r="W119" s="9">
        <f>IF(ISNUMBER($T119),$T119*$J119*Assumptions!$B$4,"NA")</f>
        <v/>
      </c>
      <c r="X119" s="9">
        <f>IF(ISNUMBER($U119),$U119*$J119*Assumptions!$B$4,"NA")</f>
        <v/>
      </c>
      <c r="Y119" s="9">
        <f>IF(ISNUMBER($V119),$V119*$J119*Assumptions!$B$4,"NA")</f>
        <v/>
      </c>
    </row>
    <row r="120">
      <c r="A120" s="5" t="inlineStr">
        <is>
          <t>Austin Engineering</t>
        </is>
      </c>
      <c r="B120" s="11" t="inlineStr">
        <is>
          <t>Dump bodies/truck trays</t>
        </is>
      </c>
      <c r="C120" s="5" t="inlineStr">
        <is>
          <t>Austin Engineering Limited</t>
        </is>
      </c>
      <c r="D120" s="11" t="inlineStr">
        <is>
          <t>Parent/Affiliate</t>
        </is>
      </c>
      <c r="E120" s="5" t="inlineStr">
        <is>
          <t>Australia</t>
        </is>
      </c>
      <c r="F120" s="5" t="n">
        <v>2024</v>
      </c>
      <c r="G120" s="5" t="n">
        <v>7</v>
      </c>
      <c r="H120" s="7" t="n">
        <v>191902.86</v>
      </c>
      <c r="I120" s="5" t="inlineStr">
        <is>
          <t>AUD</t>
        </is>
      </c>
      <c r="J120" s="8">
        <f>IF($I120="AUD",Assumptions!$B$2,Assumptions!$B$3)</f>
        <v/>
      </c>
      <c r="K120" s="9">
        <f>$G120*$H120*$J120</f>
        <v/>
      </c>
      <c r="L120" s="9">
        <f>$K120*Assumptions!$B$4</f>
        <v/>
      </c>
      <c r="M120" s="9">
        <f>RawTx[[#This Row],[Value USD]]/RawTx[[#This Row],[Quantity]]</f>
        <v/>
      </c>
      <c r="N120" s="9">
        <f>RawTx[[#This Row],[Value IDR]]/RawTx[[#This Row],[Quantity]]</f>
        <v/>
      </c>
      <c r="O120" s="4" t="inlineStr">
        <is>
          <t>KOMATSU 830E-HPT MAX STD C/W ACCESSORIES PO REFERENCE : 3014164975, 30</t>
        </is>
      </c>
      <c r="P120" s="5" t="inlineStr">
        <is>
          <t>Komatsu</t>
        </is>
      </c>
      <c r="Q120" s="13" t="inlineStr">
        <is>
          <t>830E</t>
        </is>
      </c>
      <c r="R120" s="7" t="n">
        <v>186648</v>
      </c>
      <c r="S120" s="7">
        <f>IFERROR($R120/$G120,"")</f>
        <v/>
      </c>
      <c r="T120" s="7" t="n">
        <v>71600.7</v>
      </c>
      <c r="U120" s="7" t="n">
        <v>7377.39</v>
      </c>
      <c r="V120" s="7" t="n">
        <v>2057540</v>
      </c>
      <c r="W120" s="9">
        <f>IF(ISNUMBER($T120),$T120*$J120*Assumptions!$B$4,"NA")</f>
        <v/>
      </c>
      <c r="X120" s="9">
        <f>IF(ISNUMBER($U120),$U120*$J120*Assumptions!$B$4,"NA")</f>
        <v/>
      </c>
      <c r="Y120" s="9">
        <f>IF(ISNUMBER($V120),$V120*$J120*Assumptions!$B$4,"NA")</f>
        <v/>
      </c>
    </row>
    <row r="121">
      <c r="A121" s="5" t="inlineStr">
        <is>
          <t>Austin Engineering</t>
        </is>
      </c>
      <c r="B121" s="11" t="inlineStr">
        <is>
          <t>Dump bodies/truck trays</t>
        </is>
      </c>
      <c r="C121" s="5" t="inlineStr">
        <is>
          <t>Austin Engineering Limited</t>
        </is>
      </c>
      <c r="D121" s="11" t="inlineStr">
        <is>
          <t>Parent/Affiliate</t>
        </is>
      </c>
      <c r="E121" s="5" t="inlineStr">
        <is>
          <t>Australia</t>
        </is>
      </c>
      <c r="F121" s="5" t="n">
        <v>2024</v>
      </c>
      <c r="G121" s="5" t="n">
        <v>2</v>
      </c>
      <c r="H121" s="7" t="n">
        <v>235700.5</v>
      </c>
      <c r="I121" s="5" t="inlineStr">
        <is>
          <t>AUD</t>
        </is>
      </c>
      <c r="J121" s="8">
        <f>IF($I121="AUD",Assumptions!$B$2,Assumptions!$B$3)</f>
        <v/>
      </c>
      <c r="K121" s="9">
        <f>$G121*$H121*$J121</f>
        <v/>
      </c>
      <c r="L121" s="9">
        <f>$K121*Assumptions!$B$4</f>
        <v/>
      </c>
      <c r="M121" s="9">
        <f>RawTx[[#This Row],[Value USD]]/RawTx[[#This Row],[Quantity]]</f>
        <v/>
      </c>
      <c r="N121" s="9">
        <f>RawTx[[#This Row],[Value IDR]]/RawTx[[#This Row],[Quantity]]</f>
        <v/>
      </c>
      <c r="O121" s="4" t="inlineStr">
        <is>
          <t>10013 HITACHI EH4000 AC3 ULTIMA ANTI CARRY BACK TRAYS</t>
        </is>
      </c>
      <c r="P121" s="5" t="inlineStr">
        <is>
          <t>Hitachi</t>
        </is>
      </c>
      <c r="Q121" s="13" t="inlineStr">
        <is>
          <t>EH4000AC-3</t>
        </is>
      </c>
      <c r="R121" s="7" t="n">
        <v>62800</v>
      </c>
      <c r="S121" s="7">
        <f>IFERROR($R121/$G121,"")</f>
        <v/>
      </c>
      <c r="T121" s="7" t="n">
        <v>14657.3</v>
      </c>
      <c r="U121" s="7" t="n">
        <v>1510.22</v>
      </c>
      <c r="V121" s="7" t="n">
        <v>722034</v>
      </c>
      <c r="W121" s="9">
        <f>IF(ISNUMBER($T121),$T121*$J121*Assumptions!$B$4,"NA")</f>
        <v/>
      </c>
      <c r="X121" s="9">
        <f>IF(ISNUMBER($U121),$U121*$J121*Assumptions!$B$4,"NA")</f>
        <v/>
      </c>
      <c r="Y121" s="9">
        <f>IF(ISNUMBER($V121),$V121*$J121*Assumptions!$B$4,"NA")</f>
        <v/>
      </c>
    </row>
    <row r="122">
      <c r="A122" s="5" t="inlineStr">
        <is>
          <t>Austin Engineering</t>
        </is>
      </c>
      <c r="B122" s="11" t="inlineStr">
        <is>
          <t>Dump bodies/truck trays</t>
        </is>
      </c>
      <c r="C122" s="5" t="inlineStr">
        <is>
          <t>Austin Engineering Limited</t>
        </is>
      </c>
      <c r="D122" s="11" t="inlineStr">
        <is>
          <t>Parent/Affiliate</t>
        </is>
      </c>
      <c r="E122" s="5" t="inlineStr">
        <is>
          <t>Australia</t>
        </is>
      </c>
      <c r="F122" s="5" t="n">
        <v>2024</v>
      </c>
      <c r="G122" s="5" t="n">
        <v>1</v>
      </c>
      <c r="H122" s="7" t="n">
        <v>211146</v>
      </c>
      <c r="I122" s="5" t="inlineStr">
        <is>
          <t>AUD</t>
        </is>
      </c>
      <c r="J122" s="8">
        <f>IF($I122="AUD",Assumptions!$B$2,Assumptions!$B$3)</f>
        <v/>
      </c>
      <c r="K122" s="9">
        <f>$G122*$H122*$J122</f>
        <v/>
      </c>
      <c r="L122" s="9">
        <f>$K122*Assumptions!$B$4</f>
        <v/>
      </c>
      <c r="M122" s="9">
        <f>RawTx[[#This Row],[Value USD]]/RawTx[[#This Row],[Quantity]]</f>
        <v/>
      </c>
      <c r="N122" s="9">
        <f>RawTx[[#This Row],[Value IDR]]/RawTx[[#This Row],[Quantity]]</f>
        <v/>
      </c>
      <c r="O122" s="4" t="inlineStr">
        <is>
          <t>KOMATSU HPT HD830-5 C/W ACCESSORIES PO REFERENCE : 3014295175</t>
        </is>
      </c>
      <c r="P122" s="5" t="inlineStr">
        <is>
          <t>Komatsu</t>
        </is>
      </c>
      <c r="Q122" s="13" t="inlineStr">
        <is>
          <t>HD830-5</t>
        </is>
      </c>
      <c r="R122" s="7" t="n">
        <v>32000</v>
      </c>
      <c r="S122" s="7">
        <f>IFERROR($R122/$G122,"")</f>
        <v/>
      </c>
      <c r="T122" s="7" t="n">
        <v>12999.5</v>
      </c>
      <c r="U122" s="7" t="n">
        <v>1339.41</v>
      </c>
      <c r="V122" s="7" t="n">
        <v>318121</v>
      </c>
      <c r="W122" s="9">
        <f>IF(ISNUMBER($T122),$T122*$J122*Assumptions!$B$4,"NA")</f>
        <v/>
      </c>
      <c r="X122" s="9">
        <f>IF(ISNUMBER($U122),$U122*$J122*Assumptions!$B$4,"NA")</f>
        <v/>
      </c>
      <c r="Y122" s="9">
        <f>IF(ISNUMBER($V122),$V122*$J122*Assumptions!$B$4,"NA")</f>
        <v/>
      </c>
    </row>
    <row r="123">
      <c r="A123" s="5" t="inlineStr">
        <is>
          <t>Austin Engineering</t>
        </is>
      </c>
      <c r="B123" s="11" t="inlineStr">
        <is>
          <t>Dump bodies/truck trays</t>
        </is>
      </c>
      <c r="C123" s="5" t="inlineStr">
        <is>
          <t>Austin Engineering Limited</t>
        </is>
      </c>
      <c r="D123" s="11" t="inlineStr">
        <is>
          <t>Parent/Affiliate</t>
        </is>
      </c>
      <c r="E123" s="5" t="inlineStr">
        <is>
          <t>Australia</t>
        </is>
      </c>
      <c r="F123" s="5" t="n">
        <v>2024</v>
      </c>
      <c r="G123" s="5" t="n">
        <v>1</v>
      </c>
      <c r="H123" s="7" t="n">
        <v>208442</v>
      </c>
      <c r="I123" s="5" t="inlineStr">
        <is>
          <t>AUD</t>
        </is>
      </c>
      <c r="J123" s="8">
        <f>IF($I123="AUD",Assumptions!$B$2,Assumptions!$B$3)</f>
        <v/>
      </c>
      <c r="K123" s="9">
        <f>$G123*$H123*$J123</f>
        <v/>
      </c>
      <c r="L123" s="9">
        <f>$K123*Assumptions!$B$4</f>
        <v/>
      </c>
      <c r="M123" s="9">
        <f>RawTx[[#This Row],[Value USD]]/RawTx[[#This Row],[Quantity]]</f>
        <v/>
      </c>
      <c r="N123" s="9">
        <f>RawTx[[#This Row],[Value IDR]]/RawTx[[#This Row],[Quantity]]</f>
        <v/>
      </c>
      <c r="O123" s="4" t="inlineStr">
        <is>
          <t>KOMATSU HPT HD830-5 C/W ACCESSORIES PO REFERENCE : 3014292234</t>
        </is>
      </c>
      <c r="P123" s="5" t="inlineStr">
        <is>
          <t>Komatsu</t>
        </is>
      </c>
      <c r="Q123" s="13" t="inlineStr">
        <is>
          <t>HD830-5</t>
        </is>
      </c>
      <c r="R123" s="7" t="n">
        <v>32000</v>
      </c>
      <c r="S123" s="7">
        <f>IFERROR($R123/$G123,"")</f>
        <v/>
      </c>
      <c r="T123" s="7" t="n">
        <v>12999.5</v>
      </c>
      <c r="U123" s="7" t="n">
        <v>1339.41</v>
      </c>
      <c r="V123" s="7" t="n">
        <v>322248</v>
      </c>
      <c r="W123" s="9">
        <f>IF(ISNUMBER($T123),$T123*$J123*Assumptions!$B$4,"NA")</f>
        <v/>
      </c>
      <c r="X123" s="9">
        <f>IF(ISNUMBER($U123),$U123*$J123*Assumptions!$B$4,"NA")</f>
        <v/>
      </c>
      <c r="Y123" s="9">
        <f>IF(ISNUMBER($V123),$V123*$J123*Assumptions!$B$4,"NA")</f>
        <v/>
      </c>
    </row>
    <row r="124">
      <c r="A124" s="5" t="inlineStr">
        <is>
          <t>Austin Engineering</t>
        </is>
      </c>
      <c r="B124" s="11" t="inlineStr">
        <is>
          <t>Dump bodies/truck trays</t>
        </is>
      </c>
      <c r="C124" s="5" t="inlineStr">
        <is>
          <t>Austin Engineering Limited</t>
        </is>
      </c>
      <c r="D124" s="11" t="inlineStr">
        <is>
          <t>Parent/Affiliate</t>
        </is>
      </c>
      <c r="E124" s="5" t="inlineStr">
        <is>
          <t>Australia</t>
        </is>
      </c>
      <c r="F124" s="5" t="n">
        <v>2024</v>
      </c>
      <c r="G124" s="5" t="n">
        <v>3</v>
      </c>
      <c r="H124" s="7" t="n">
        <v>178400</v>
      </c>
      <c r="I124" s="5" t="inlineStr">
        <is>
          <t>AUD</t>
        </is>
      </c>
      <c r="J124" s="8">
        <f>IF($I124="AUD",Assumptions!$B$2,Assumptions!$B$3)</f>
        <v/>
      </c>
      <c r="K124" s="9">
        <f>$G124*$H124*$J124</f>
        <v/>
      </c>
      <c r="L124" s="9">
        <f>$K124*Assumptions!$B$4</f>
        <v/>
      </c>
      <c r="M124" s="9">
        <f>RawTx[[#This Row],[Value USD]]/RawTx[[#This Row],[Quantity]]</f>
        <v/>
      </c>
      <c r="N124" s="9">
        <f>RawTx[[#This Row],[Value IDR]]/RawTx[[#This Row],[Quantity]]</f>
        <v/>
      </c>
      <c r="O124" s="4" t="inlineStr">
        <is>
          <t>KOMATSU HD830E - HPT MAX STD C/W ACCESSORIES PO REFERENCE : 3014164970</t>
        </is>
      </c>
      <c r="P124" s="5" t="inlineStr">
        <is>
          <t>Komatsu</t>
        </is>
      </c>
      <c r="Q124" s="13" t="inlineStr">
        <is>
          <t>830E</t>
        </is>
      </c>
      <c r="R124" s="7" t="n">
        <v>79992</v>
      </c>
      <c r="S124" s="7">
        <f>IFERROR($R124/$G124,"")</f>
        <v/>
      </c>
      <c r="T124" s="7" t="n">
        <v>10864.6</v>
      </c>
      <c r="U124" s="7" t="n">
        <v>1119.43</v>
      </c>
      <c r="V124" s="7" t="n">
        <v>535200</v>
      </c>
      <c r="W124" s="9">
        <f>IF(ISNUMBER($T124),$T124*$J124*Assumptions!$B$4,"NA")</f>
        <v/>
      </c>
      <c r="X124" s="9">
        <f>IF(ISNUMBER($U124),$U124*$J124*Assumptions!$B$4,"NA")</f>
        <v/>
      </c>
      <c r="Y124" s="9">
        <f>IF(ISNUMBER($V124),$V124*$J124*Assumptions!$B$4,"NA")</f>
        <v/>
      </c>
    </row>
    <row r="125">
      <c r="A125" s="5" t="inlineStr">
        <is>
          <t>Austin Engineering</t>
        </is>
      </c>
      <c r="B125" s="11" t="inlineStr">
        <is>
          <t>Dump bodies/truck trays</t>
        </is>
      </c>
      <c r="C125" s="5" t="inlineStr">
        <is>
          <t>Austin Engineering Limited</t>
        </is>
      </c>
      <c r="D125" s="11" t="inlineStr">
        <is>
          <t>Parent/Affiliate</t>
        </is>
      </c>
      <c r="E125" s="5" t="inlineStr">
        <is>
          <t>Australia</t>
        </is>
      </c>
      <c r="F125" s="5" t="n">
        <v>2024</v>
      </c>
      <c r="G125" s="5" t="n">
        <v>2</v>
      </c>
      <c r="H125" s="7" t="n">
        <v>209845.5</v>
      </c>
      <c r="I125" s="5" t="inlineStr">
        <is>
          <t>AUD</t>
        </is>
      </c>
      <c r="J125" s="8">
        <f>IF($I125="AUD",Assumptions!$B$2,Assumptions!$B$3)</f>
        <v/>
      </c>
      <c r="K125" s="9">
        <f>$G125*$H125*$J125</f>
        <v/>
      </c>
      <c r="L125" s="9">
        <f>$K125*Assumptions!$B$4</f>
        <v/>
      </c>
      <c r="M125" s="9">
        <f>RawTx[[#This Row],[Value USD]]/RawTx[[#This Row],[Quantity]]</f>
        <v/>
      </c>
      <c r="N125" s="9">
        <f>RawTx[[#This Row],[Value IDR]]/RawTx[[#This Row],[Quantity]]</f>
        <v/>
      </c>
      <c r="O125" s="4" t="inlineStr">
        <is>
          <t>KOMATSU HPT HD830-5 C/W ACCESSORIES PO REFERENCE : 3014292218, 30142921</t>
        </is>
      </c>
      <c r="P125" s="5" t="inlineStr">
        <is>
          <t>Komatsu</t>
        </is>
      </c>
      <c r="Q125" s="13" t="inlineStr">
        <is>
          <t>HD830-5</t>
        </is>
      </c>
      <c r="R125" s="7" t="n">
        <v>64000</v>
      </c>
      <c r="S125" s="7">
        <f>IFERROR($R125/$G125,"")</f>
        <v/>
      </c>
      <c r="T125" s="7" t="n">
        <v>29810.5</v>
      </c>
      <c r="U125" s="7" t="n">
        <v>3071.53</v>
      </c>
      <c r="V125" s="7" t="n">
        <v>636243</v>
      </c>
      <c r="W125" s="9">
        <f>IF(ISNUMBER($T125),$T125*$J125*Assumptions!$B$4,"NA")</f>
        <v/>
      </c>
      <c r="X125" s="9">
        <f>IF(ISNUMBER($U125),$U125*$J125*Assumptions!$B$4,"NA")</f>
        <v/>
      </c>
      <c r="Y125" s="9">
        <f>IF(ISNUMBER($V125),$V125*$J125*Assumptions!$B$4,"NA")</f>
        <v/>
      </c>
    </row>
    <row r="126">
      <c r="A126" s="5" t="inlineStr">
        <is>
          <t>Austin Engineering</t>
        </is>
      </c>
      <c r="B126" s="11" t="inlineStr">
        <is>
          <t>Dump bodies/truck trays</t>
        </is>
      </c>
      <c r="C126" s="5" t="inlineStr">
        <is>
          <t>Austin Engineering Limited</t>
        </is>
      </c>
      <c r="D126" s="11" t="inlineStr">
        <is>
          <t>Parent/Affiliate</t>
        </is>
      </c>
      <c r="E126" s="5" t="inlineStr">
        <is>
          <t>Australia</t>
        </is>
      </c>
      <c r="F126" s="5" t="n">
        <v>2024</v>
      </c>
      <c r="G126" s="5" t="n">
        <v>3</v>
      </c>
      <c r="H126" s="7" t="n">
        <v>182996.67</v>
      </c>
      <c r="I126" s="5" t="inlineStr">
        <is>
          <t>AUD</t>
        </is>
      </c>
      <c r="J126" s="8">
        <f>IF($I126="AUD",Assumptions!$B$2,Assumptions!$B$3)</f>
        <v/>
      </c>
      <c r="K126" s="9">
        <f>$G126*$H126*$J126</f>
        <v/>
      </c>
      <c r="L126" s="9">
        <f>$K126*Assumptions!$B$4</f>
        <v/>
      </c>
      <c r="M126" s="9">
        <f>RawTx[[#This Row],[Value USD]]/RawTx[[#This Row],[Quantity]]</f>
        <v/>
      </c>
      <c r="N126" s="9">
        <f>RawTx[[#This Row],[Value IDR]]/RawTx[[#This Row],[Quantity]]</f>
        <v/>
      </c>
      <c r="O126" s="4" t="inlineStr">
        <is>
          <t>KOMATSU 830E HPT MAX STD C/W ACCESSORIESS PO REFERENCE : 3014092652, 3</t>
        </is>
      </c>
      <c r="P126" s="5" t="inlineStr">
        <is>
          <t>Komatsu</t>
        </is>
      </c>
      <c r="Q126" s="13" t="inlineStr">
        <is>
          <t>830E</t>
        </is>
      </c>
      <c r="R126" s="7" t="n">
        <v>79992</v>
      </c>
      <c r="S126" s="7">
        <f>IFERROR($R126/$G126,"")</f>
        <v/>
      </c>
      <c r="T126" s="7" t="n">
        <v>29810.5</v>
      </c>
      <c r="U126" s="7" t="n">
        <v>3071.53</v>
      </c>
      <c r="V126" s="7" t="n">
        <v>832256</v>
      </c>
      <c r="W126" s="9">
        <f>IF(ISNUMBER($T126),$T126*$J126*Assumptions!$B$4,"NA")</f>
        <v/>
      </c>
      <c r="X126" s="9">
        <f>IF(ISNUMBER($U126),$U126*$J126*Assumptions!$B$4,"NA")</f>
        <v/>
      </c>
      <c r="Y126" s="9">
        <f>IF(ISNUMBER($V126),$V126*$J126*Assumptions!$B$4,"NA")</f>
        <v/>
      </c>
    </row>
    <row r="127">
      <c r="A127" s="5" t="inlineStr">
        <is>
          <t>Austin Engineering</t>
        </is>
      </c>
      <c r="B127" s="11" t="inlineStr">
        <is>
          <t>Dump bodies/truck trays</t>
        </is>
      </c>
      <c r="C127" s="5" t="inlineStr">
        <is>
          <t>Austin Engineering Limited</t>
        </is>
      </c>
      <c r="D127" s="11" t="inlineStr">
        <is>
          <t>Parent/Affiliate</t>
        </is>
      </c>
      <c r="E127" s="5" t="inlineStr">
        <is>
          <t>Australia</t>
        </is>
      </c>
      <c r="F127" s="5" t="n">
        <v>2024</v>
      </c>
      <c r="G127" s="5" t="n">
        <v>2</v>
      </c>
      <c r="H127" s="7" t="n">
        <v>217608.5</v>
      </c>
      <c r="I127" s="5" t="inlineStr">
        <is>
          <t>AUD</t>
        </is>
      </c>
      <c r="J127" s="8">
        <f>IF($I127="AUD",Assumptions!$B$2,Assumptions!$B$3)</f>
        <v/>
      </c>
      <c r="K127" s="9">
        <f>$G127*$H127*$J127</f>
        <v/>
      </c>
      <c r="L127" s="9">
        <f>$K127*Assumptions!$B$4</f>
        <v/>
      </c>
      <c r="M127" s="9">
        <f>RawTx[[#This Row],[Value USD]]/RawTx[[#This Row],[Quantity]]</f>
        <v/>
      </c>
      <c r="N127" s="9">
        <f>RawTx[[#This Row],[Value IDR]]/RawTx[[#This Row],[Quantity]]</f>
        <v/>
      </c>
      <c r="O127" s="4" t="inlineStr">
        <is>
          <t>830E HPT MAX HD BODY C/W ACCESSORIESS PO REFERENCE : 3014092632, 30140</t>
        </is>
      </c>
      <c r="P127" s="5" t="inlineStr">
        <is>
          <t>Komatsu</t>
        </is>
      </c>
      <c r="Q127" s="13" t="inlineStr">
        <is>
          <t>830E</t>
        </is>
      </c>
      <c r="R127" s="7" t="n">
        <v>55800</v>
      </c>
      <c r="S127" s="7">
        <f>IFERROR($R127/$G127,"")</f>
        <v/>
      </c>
      <c r="T127" s="7" t="n">
        <v>26401.1</v>
      </c>
      <c r="U127" s="7" t="n">
        <v>2720.25</v>
      </c>
      <c r="V127" s="7" t="n">
        <v>664305</v>
      </c>
      <c r="W127" s="9">
        <f>IF(ISNUMBER($T127),$T127*$J127*Assumptions!$B$4,"NA")</f>
        <v/>
      </c>
      <c r="X127" s="9">
        <f>IF(ISNUMBER($U127),$U127*$J127*Assumptions!$B$4,"NA")</f>
        <v/>
      </c>
      <c r="Y127" s="9">
        <f>IF(ISNUMBER($V127),$V127*$J127*Assumptions!$B$4,"NA")</f>
        <v/>
      </c>
    </row>
    <row r="128">
      <c r="A128" s="5" t="inlineStr">
        <is>
          <t>Austin Engineering</t>
        </is>
      </c>
      <c r="B128" s="11" t="inlineStr">
        <is>
          <t>Dump bodies/truck trays</t>
        </is>
      </c>
      <c r="C128" s="5" t="inlineStr">
        <is>
          <t>Austin Engineering Limited</t>
        </is>
      </c>
      <c r="D128" s="11" t="inlineStr">
        <is>
          <t>Parent/Affiliate</t>
        </is>
      </c>
      <c r="E128" s="5" t="inlineStr">
        <is>
          <t>Australia</t>
        </is>
      </c>
      <c r="F128" s="5" t="n">
        <v>2024</v>
      </c>
      <c r="G128" s="5" t="n">
        <v>2</v>
      </c>
      <c r="H128" s="7" t="n">
        <v>208416</v>
      </c>
      <c r="I128" s="5" t="inlineStr">
        <is>
          <t>AUD</t>
        </is>
      </c>
      <c r="J128" s="8">
        <f>IF($I128="AUD",Assumptions!$B$2,Assumptions!$B$3)</f>
        <v/>
      </c>
      <c r="K128" s="9">
        <f>$G128*$H128*$J128</f>
        <v/>
      </c>
      <c r="L128" s="9">
        <f>$K128*Assumptions!$B$4</f>
        <v/>
      </c>
      <c r="M128" s="9">
        <f>RawTx[[#This Row],[Value USD]]/RawTx[[#This Row],[Quantity]]</f>
        <v/>
      </c>
      <c r="N128" s="9">
        <f>RawTx[[#This Row],[Value IDR]]/RawTx[[#This Row],[Quantity]]</f>
        <v/>
      </c>
      <c r="O128" s="4" t="inlineStr">
        <is>
          <t>KOMATSU HPT HD830-5 C/W ACCESSORIES PO REFERENCE : 3014291459, 30142915</t>
        </is>
      </c>
      <c r="P128" s="5" t="inlineStr">
        <is>
          <t>Komatsu</t>
        </is>
      </c>
      <c r="Q128" s="13" t="inlineStr">
        <is>
          <t>HD830-5</t>
        </is>
      </c>
      <c r="R128" s="7" t="n">
        <v>62200</v>
      </c>
      <c r="S128" s="7">
        <f>IFERROR($R128/$G128,"")</f>
        <v/>
      </c>
      <c r="T128" s="7" t="n">
        <v>26401.1</v>
      </c>
      <c r="U128" s="7" t="n">
        <v>2720.25</v>
      </c>
      <c r="V128" s="7" t="n">
        <v>636243</v>
      </c>
      <c r="W128" s="9">
        <f>IF(ISNUMBER($T128),$T128*$J128*Assumptions!$B$4,"NA")</f>
        <v/>
      </c>
      <c r="X128" s="9">
        <f>IF(ISNUMBER($U128),$U128*$J128*Assumptions!$B$4,"NA")</f>
        <v/>
      </c>
      <c r="Y128" s="9">
        <f>IF(ISNUMBER($V128),$V128*$J128*Assumptions!$B$4,"NA")</f>
        <v/>
      </c>
    </row>
    <row r="129">
      <c r="A129" s="5" t="inlineStr">
        <is>
          <t>Austin Engineering</t>
        </is>
      </c>
      <c r="B129" s="11" t="inlineStr">
        <is>
          <t>Dump bodies/truck trays</t>
        </is>
      </c>
      <c r="C129" s="5" t="inlineStr">
        <is>
          <t>Austin Engineering Limited</t>
        </is>
      </c>
      <c r="D129" s="11" t="inlineStr">
        <is>
          <t>Parent/Affiliate</t>
        </is>
      </c>
      <c r="E129" s="5" t="inlineStr">
        <is>
          <t>Australia</t>
        </is>
      </c>
      <c r="F129" s="5" t="n">
        <v>2024</v>
      </c>
      <c r="G129" s="5" t="n">
        <v>1</v>
      </c>
      <c r="H129" s="7" t="n">
        <v>216095</v>
      </c>
      <c r="I129" s="5" t="inlineStr">
        <is>
          <t>AUD</t>
        </is>
      </c>
      <c r="J129" s="8">
        <f>IF($I129="AUD",Assumptions!$B$2,Assumptions!$B$3)</f>
        <v/>
      </c>
      <c r="K129" s="9">
        <f>$G129*$H129*$J129</f>
        <v/>
      </c>
      <c r="L129" s="9">
        <f>$K129*Assumptions!$B$4</f>
        <v/>
      </c>
      <c r="M129" s="9">
        <f>RawTx[[#This Row],[Value USD]]/RawTx[[#This Row],[Quantity]]</f>
        <v/>
      </c>
      <c r="N129" s="9">
        <f>RawTx[[#This Row],[Value IDR]]/RawTx[[#This Row],[Quantity]]</f>
        <v/>
      </c>
      <c r="O129" s="4" t="inlineStr">
        <is>
          <t>830E HPT MAX HD BODY C/W ACCESSORIES PO REFERENCE : 3014092612</t>
        </is>
      </c>
      <c r="P129" s="5" t="inlineStr">
        <is>
          <t>Komatsu</t>
        </is>
      </c>
      <c r="Q129" s="13" t="inlineStr">
        <is>
          <t>830E</t>
        </is>
      </c>
      <c r="R129" s="7" t="n">
        <v>27900</v>
      </c>
      <c r="S129" s="7">
        <f>IFERROR($R129/$G129,"")</f>
        <v/>
      </c>
      <c r="T129" s="7" t="n">
        <v>67264.39999999999</v>
      </c>
      <c r="U129" s="7" t="n">
        <v>6930.6</v>
      </c>
      <c r="V129" s="7" t="n">
        <v>332153</v>
      </c>
      <c r="W129" s="9">
        <f>IF(ISNUMBER($T129),$T129*$J129*Assumptions!$B$4,"NA")</f>
        <v/>
      </c>
      <c r="X129" s="9">
        <f>IF(ISNUMBER($U129),$U129*$J129*Assumptions!$B$4,"NA")</f>
        <v/>
      </c>
      <c r="Y129" s="9">
        <f>IF(ISNUMBER($V129),$V129*$J129*Assumptions!$B$4,"NA")</f>
        <v/>
      </c>
    </row>
    <row r="130">
      <c r="A130" s="5" t="inlineStr">
        <is>
          <t>Austin Engineering</t>
        </is>
      </c>
      <c r="B130" s="11" t="inlineStr">
        <is>
          <t>Dump bodies/truck trays</t>
        </is>
      </c>
      <c r="C130" s="5" t="inlineStr">
        <is>
          <t>Austin Engineering Limited</t>
        </is>
      </c>
      <c r="D130" s="11" t="inlineStr">
        <is>
          <t>Parent/Affiliate</t>
        </is>
      </c>
      <c r="E130" s="5" t="inlineStr">
        <is>
          <t>Australia</t>
        </is>
      </c>
      <c r="F130" s="5" t="n">
        <v>2024</v>
      </c>
      <c r="G130" s="5" t="n">
        <v>3</v>
      </c>
      <c r="H130" s="7" t="n">
        <v>218666.67</v>
      </c>
      <c r="I130" s="5" t="inlineStr">
        <is>
          <t>AUD</t>
        </is>
      </c>
      <c r="J130" s="8">
        <f>IF($I130="AUD",Assumptions!$B$2,Assumptions!$B$3)</f>
        <v/>
      </c>
      <c r="K130" s="9">
        <f>$G130*$H130*$J130</f>
        <v/>
      </c>
      <c r="L130" s="9">
        <f>$K130*Assumptions!$B$4</f>
        <v/>
      </c>
      <c r="M130" s="9">
        <f>RawTx[[#This Row],[Value USD]]/RawTx[[#This Row],[Quantity]]</f>
        <v/>
      </c>
      <c r="N130" s="9">
        <f>RawTx[[#This Row],[Value IDR]]/RawTx[[#This Row],[Quantity]]</f>
        <v/>
      </c>
      <c r="O130" s="4" t="inlineStr">
        <is>
          <t>830E HPT MAX HD BODY C/W ACCESSORIESS PO REFERENCE : 3014092586, 30140</t>
        </is>
      </c>
      <c r="P130" s="5" t="inlineStr">
        <is>
          <t>Komatsu</t>
        </is>
      </c>
      <c r="Q130" s="13" t="inlineStr">
        <is>
          <t>830E</t>
        </is>
      </c>
      <c r="R130" s="7" t="n">
        <v>83700</v>
      </c>
      <c r="S130" s="7">
        <f>IFERROR($R130/$G130,"")</f>
        <v/>
      </c>
      <c r="T130" s="7" t="n">
        <v>67264.39999999999</v>
      </c>
      <c r="U130" s="7" t="n">
        <v>6930.6</v>
      </c>
      <c r="V130" s="7" t="n">
        <v>1008320</v>
      </c>
      <c r="W130" s="9">
        <f>IF(ISNUMBER($T130),$T130*$J130*Assumptions!$B$4,"NA")</f>
        <v/>
      </c>
      <c r="X130" s="9">
        <f>IF(ISNUMBER($U130),$U130*$J130*Assumptions!$B$4,"NA")</f>
        <v/>
      </c>
      <c r="Y130" s="9">
        <f>IF(ISNUMBER($V130),$V130*$J130*Assumptions!$B$4,"NA")</f>
        <v/>
      </c>
    </row>
    <row r="131">
      <c r="A131" s="5" t="inlineStr">
        <is>
          <t>Austin Engineering</t>
        </is>
      </c>
      <c r="B131" s="11" t="inlineStr">
        <is>
          <t>Dump bodies/truck trays</t>
        </is>
      </c>
      <c r="C131" s="5" t="inlineStr">
        <is>
          <t>Austin Engineering Limited</t>
        </is>
      </c>
      <c r="D131" s="11" t="inlineStr">
        <is>
          <t>Parent/Affiliate</t>
        </is>
      </c>
      <c r="E131" s="5" t="inlineStr">
        <is>
          <t>Australia</t>
        </is>
      </c>
      <c r="F131" s="5" t="n">
        <v>2024</v>
      </c>
      <c r="G131" s="5" t="n">
        <v>2</v>
      </c>
      <c r="H131" s="7" t="n">
        <v>218306</v>
      </c>
      <c r="I131" s="5" t="inlineStr">
        <is>
          <t>AUD</t>
        </is>
      </c>
      <c r="J131" s="8">
        <f>IF($I131="AUD",Assumptions!$B$2,Assumptions!$B$3)</f>
        <v/>
      </c>
      <c r="K131" s="9">
        <f>$G131*$H131*$J131</f>
        <v/>
      </c>
      <c r="L131" s="9">
        <f>$K131*Assumptions!$B$4</f>
        <v/>
      </c>
      <c r="M131" s="9">
        <f>RawTx[[#This Row],[Value USD]]/RawTx[[#This Row],[Quantity]]</f>
        <v/>
      </c>
      <c r="N131" s="9">
        <f>RawTx[[#This Row],[Value IDR]]/RawTx[[#This Row],[Quantity]]</f>
        <v/>
      </c>
      <c r="O131" s="4" t="inlineStr">
        <is>
          <t>KOMATSU 930E HPT MAX STD BODY C/W ACCESSORIES PO REFERENCE : 30140935</t>
        </is>
      </c>
      <c r="P131" s="5" t="inlineStr">
        <is>
          <t>Komatsu</t>
        </is>
      </c>
      <c r="Q131" s="13" t="inlineStr">
        <is>
          <t>930E</t>
        </is>
      </c>
      <c r="R131" s="7" t="n">
        <v>60952</v>
      </c>
      <c r="S131" s="7">
        <f>IFERROR($R131/$G131,"")</f>
        <v/>
      </c>
      <c r="T131" s="7" t="n">
        <v>35207.6</v>
      </c>
      <c r="U131" s="7" t="n">
        <v>3627.62</v>
      </c>
      <c r="V131" s="7" t="n">
        <v>664275</v>
      </c>
      <c r="W131" s="9">
        <f>IF(ISNUMBER($T131),$T131*$J131*Assumptions!$B$4,"NA")</f>
        <v/>
      </c>
      <c r="X131" s="9">
        <f>IF(ISNUMBER($U131),$U131*$J131*Assumptions!$B$4,"NA")</f>
        <v/>
      </c>
      <c r="Y131" s="9">
        <f>IF(ISNUMBER($V131),$V131*$J131*Assumptions!$B$4,"NA")</f>
        <v/>
      </c>
    </row>
    <row r="132">
      <c r="A132" s="5" t="inlineStr">
        <is>
          <t>Austin Engineering</t>
        </is>
      </c>
      <c r="B132" s="11" t="inlineStr">
        <is>
          <t>Dump bodies/truck trays</t>
        </is>
      </c>
      <c r="C132" s="5" t="inlineStr">
        <is>
          <t>Austin Engineering Limited</t>
        </is>
      </c>
      <c r="D132" s="11" t="inlineStr">
        <is>
          <t>Parent/Affiliate</t>
        </is>
      </c>
      <c r="E132" s="5" t="inlineStr">
        <is>
          <t>Australia</t>
        </is>
      </c>
      <c r="F132" s="5" t="n">
        <v>2024</v>
      </c>
      <c r="G132" s="5" t="n">
        <v>5</v>
      </c>
      <c r="H132" s="7" t="n">
        <v>215708</v>
      </c>
      <c r="I132" s="5" t="inlineStr">
        <is>
          <t>AUD</t>
        </is>
      </c>
      <c r="J132" s="8">
        <f>IF($I132="AUD",Assumptions!$B$2,Assumptions!$B$3)</f>
        <v/>
      </c>
      <c r="K132" s="9">
        <f>$G132*$H132*$J132</f>
        <v/>
      </c>
      <c r="L132" s="9">
        <f>$K132*Assumptions!$B$4</f>
        <v/>
      </c>
      <c r="M132" s="9">
        <f>RawTx[[#This Row],[Value USD]]/RawTx[[#This Row],[Quantity]]</f>
        <v/>
      </c>
      <c r="N132" s="9">
        <f>RawTx[[#This Row],[Value IDR]]/RawTx[[#This Row],[Quantity]]</f>
        <v/>
      </c>
      <c r="O132" s="4" t="inlineStr">
        <is>
          <t>KOMATSU 930E HPT MAX STD BODY C/W ACCESSORIES PO REFERENCE : 30140935</t>
        </is>
      </c>
      <c r="P132" s="5" t="inlineStr">
        <is>
          <t>Komatsu</t>
        </is>
      </c>
      <c r="Q132" s="13" t="inlineStr">
        <is>
          <t>930E</t>
        </is>
      </c>
      <c r="R132" s="7" t="n">
        <v>152380</v>
      </c>
      <c r="S132" s="7">
        <f>IFERROR($R132/$G132,"")</f>
        <v/>
      </c>
      <c r="T132" s="7" t="n">
        <v>67264.39999999999</v>
      </c>
      <c r="U132" s="7" t="n">
        <v>6930.6</v>
      </c>
      <c r="V132" s="7" t="n">
        <v>1640920</v>
      </c>
      <c r="W132" s="9">
        <f>IF(ISNUMBER($T132),$T132*$J132*Assumptions!$B$4,"NA")</f>
        <v/>
      </c>
      <c r="X132" s="9">
        <f>IF(ISNUMBER($U132),$U132*$J132*Assumptions!$B$4,"NA")</f>
        <v/>
      </c>
      <c r="Y132" s="9">
        <f>IF(ISNUMBER($V132),$V132*$J132*Assumptions!$B$4,"NA")</f>
        <v/>
      </c>
    </row>
    <row r="133">
      <c r="A133" s="5" t="inlineStr">
        <is>
          <t>Austin Engineering</t>
        </is>
      </c>
      <c r="B133" s="11" t="inlineStr">
        <is>
          <t>Dump bodies/truck trays</t>
        </is>
      </c>
      <c r="C133" s="5" t="inlineStr">
        <is>
          <t>Austin Engineering Limited</t>
        </is>
      </c>
      <c r="D133" s="11" t="inlineStr">
        <is>
          <t>Parent/Affiliate</t>
        </is>
      </c>
      <c r="E133" s="5" t="inlineStr">
        <is>
          <t>Australia</t>
        </is>
      </c>
      <c r="F133" s="5" t="n">
        <v>2024</v>
      </c>
      <c r="G133" s="5" t="n">
        <v>3</v>
      </c>
      <c r="H133" s="7" t="n">
        <v>220914</v>
      </c>
      <c r="I133" s="5" t="inlineStr">
        <is>
          <t>AUD</t>
        </is>
      </c>
      <c r="J133" s="8">
        <f>IF($I133="AUD",Assumptions!$B$2,Assumptions!$B$3)</f>
        <v/>
      </c>
      <c r="K133" s="9">
        <f>$G133*$H133*$J133</f>
        <v/>
      </c>
      <c r="L133" s="9">
        <f>$K133*Assumptions!$B$4</f>
        <v/>
      </c>
      <c r="M133" s="9">
        <f>RawTx[[#This Row],[Value USD]]/RawTx[[#This Row],[Quantity]]</f>
        <v/>
      </c>
      <c r="N133" s="9">
        <f>RawTx[[#This Row],[Value IDR]]/RawTx[[#This Row],[Quantity]]</f>
        <v/>
      </c>
      <c r="O133" s="4" t="inlineStr">
        <is>
          <t>830E HPT MAX STD BODY C/W ACCESSORIES PO REFERENCE : 3014092538, 30140</t>
        </is>
      </c>
      <c r="P133" s="5" t="inlineStr">
        <is>
          <t>Komatsu</t>
        </is>
      </c>
      <c r="Q133" s="13" t="inlineStr">
        <is>
          <t>830E</t>
        </is>
      </c>
      <c r="R133" s="7" t="n">
        <v>83700</v>
      </c>
      <c r="S133" s="7">
        <f>IFERROR($R133/$G133,"")</f>
        <v/>
      </c>
      <c r="T133" s="7" t="n">
        <v>67264.39999999999</v>
      </c>
      <c r="U133" s="7" t="n">
        <v>6930.6</v>
      </c>
      <c r="V133" s="7" t="n">
        <v>1008320</v>
      </c>
      <c r="W133" s="9">
        <f>IF(ISNUMBER($T133),$T133*$J133*Assumptions!$B$4,"NA")</f>
        <v/>
      </c>
      <c r="X133" s="9">
        <f>IF(ISNUMBER($U133),$U133*$J133*Assumptions!$B$4,"NA")</f>
        <v/>
      </c>
      <c r="Y133" s="9">
        <f>IF(ISNUMBER($V133),$V133*$J133*Assumptions!$B$4,"NA")</f>
        <v/>
      </c>
    </row>
    <row r="134">
      <c r="A134" s="5" t="inlineStr">
        <is>
          <t>Austin Engineering</t>
        </is>
      </c>
      <c r="B134" s="11" t="inlineStr">
        <is>
          <t>Dump bodies/truck trays</t>
        </is>
      </c>
      <c r="C134" s="5" t="inlineStr">
        <is>
          <t>Austin Engineering Limited</t>
        </is>
      </c>
      <c r="D134" s="11" t="inlineStr">
        <is>
          <t>Parent/Affiliate</t>
        </is>
      </c>
      <c r="E134" s="5" t="inlineStr">
        <is>
          <t>Australia</t>
        </is>
      </c>
      <c r="F134" s="5" t="n">
        <v>2024</v>
      </c>
      <c r="G134" s="5" t="n">
        <v>3</v>
      </c>
      <c r="H134" s="7" t="n">
        <v>238850.33</v>
      </c>
      <c r="I134" s="5" t="inlineStr">
        <is>
          <t>AUD</t>
        </is>
      </c>
      <c r="J134" s="8">
        <f>IF($I134="AUD",Assumptions!$B$2,Assumptions!$B$3)</f>
        <v/>
      </c>
      <c r="K134" s="9">
        <f>$G134*$H134*$J134</f>
        <v/>
      </c>
      <c r="L134" s="9">
        <f>$K134*Assumptions!$B$4</f>
        <v/>
      </c>
      <c r="M134" s="9">
        <f>RawTx[[#This Row],[Value USD]]/RawTx[[#This Row],[Quantity]]</f>
        <v/>
      </c>
      <c r="N134" s="9">
        <f>RawTx[[#This Row],[Value IDR]]/RawTx[[#This Row],[Quantity]]</f>
        <v/>
      </c>
      <c r="O134" s="4" t="inlineStr">
        <is>
          <t>793E HPT MAX MAX STD C/W ACCESSORIES PO REFERENCE : 3013706737, 3013706</t>
        </is>
      </c>
      <c r="P134" s="5" t="inlineStr">
        <is>
          <t>Caterpillar</t>
        </is>
      </c>
      <c r="Q134" s="14" t="inlineStr">
        <is>
          <t>793E</t>
        </is>
      </c>
      <c r="R134" s="7" t="n">
        <v>77493</v>
      </c>
      <c r="S134" s="7">
        <f>IFERROR($R134/$G134,"")</f>
        <v/>
      </c>
      <c r="T134" s="7" t="n">
        <v>35207.6</v>
      </c>
      <c r="U134" s="7" t="n">
        <v>3627.62</v>
      </c>
      <c r="V134" s="7" t="n">
        <v>1070090</v>
      </c>
      <c r="W134" s="9">
        <f>IF(ISNUMBER($T134),$T134*$J134*Assumptions!$B$4,"NA")</f>
        <v/>
      </c>
      <c r="X134" s="9">
        <f>IF(ISNUMBER($U134),$U134*$J134*Assumptions!$B$4,"NA")</f>
        <v/>
      </c>
      <c r="Y134" s="9">
        <f>IF(ISNUMBER($V134),$V134*$J134*Assumptions!$B$4,"NA")</f>
        <v/>
      </c>
    </row>
    <row r="135">
      <c r="A135" s="5" t="inlineStr">
        <is>
          <t>Austin Engineering</t>
        </is>
      </c>
      <c r="B135" s="11" t="inlineStr">
        <is>
          <t>Dump bodies/truck trays</t>
        </is>
      </c>
      <c r="C135" s="5" t="inlineStr">
        <is>
          <t>Austin Engineering Limited</t>
        </is>
      </c>
      <c r="D135" s="11" t="inlineStr">
        <is>
          <t>Parent/Affiliate</t>
        </is>
      </c>
      <c r="E135" s="5" t="inlineStr">
        <is>
          <t>Australia</t>
        </is>
      </c>
      <c r="F135" s="5" t="n">
        <v>2024</v>
      </c>
      <c r="G135" s="5" t="n">
        <v>2</v>
      </c>
      <c r="H135" s="7" t="n">
        <v>222406</v>
      </c>
      <c r="I135" s="5" t="inlineStr">
        <is>
          <t>AUD</t>
        </is>
      </c>
      <c r="J135" s="8">
        <f>IF($I135="AUD",Assumptions!$B$2,Assumptions!$B$3)</f>
        <v/>
      </c>
      <c r="K135" s="9">
        <f>$G135*$H135*$J135</f>
        <v/>
      </c>
      <c r="L135" s="9">
        <f>$K135*Assumptions!$B$4</f>
        <v/>
      </c>
      <c r="M135" s="9">
        <f>RawTx[[#This Row],[Value USD]]/RawTx[[#This Row],[Quantity]]</f>
        <v/>
      </c>
      <c r="N135" s="9">
        <f>RawTx[[#This Row],[Value IDR]]/RawTx[[#This Row],[Quantity]]</f>
        <v/>
      </c>
      <c r="O135" s="4" t="inlineStr">
        <is>
          <t>KOMATSU 930E HPT MAX STD BODY C/W ACCESSORIES PO REFERENCE : 30140933</t>
        </is>
      </c>
      <c r="P135" s="5" t="inlineStr">
        <is>
          <t>Komatsu</t>
        </is>
      </c>
      <c r="Q135" s="13" t="inlineStr">
        <is>
          <t>930E</t>
        </is>
      </c>
      <c r="R135" s="7" t="n">
        <v>60952</v>
      </c>
      <c r="S135" s="7">
        <f>IFERROR($R135/$G135,"")</f>
        <v/>
      </c>
      <c r="T135" s="7" t="n">
        <v>67264.39999999999</v>
      </c>
      <c r="U135" s="7" t="n">
        <v>6930.6</v>
      </c>
      <c r="V135" s="7" t="n">
        <v>664275</v>
      </c>
      <c r="W135" s="9">
        <f>IF(ISNUMBER($T135),$T135*$J135*Assumptions!$B$4,"NA")</f>
        <v/>
      </c>
      <c r="X135" s="9">
        <f>IF(ISNUMBER($U135),$U135*$J135*Assumptions!$B$4,"NA")</f>
        <v/>
      </c>
      <c r="Y135" s="9">
        <f>IF(ISNUMBER($V135),$V135*$J135*Assumptions!$B$4,"NA")</f>
        <v/>
      </c>
    </row>
    <row r="136">
      <c r="A136" s="5" t="inlineStr">
        <is>
          <t>Austin Engineering</t>
        </is>
      </c>
      <c r="B136" s="11" t="inlineStr">
        <is>
          <t>Dump bodies/truck trays</t>
        </is>
      </c>
      <c r="C136" s="5" t="inlineStr">
        <is>
          <t>Austin Engineering Limited</t>
        </is>
      </c>
      <c r="D136" s="11" t="inlineStr">
        <is>
          <t>Parent/Affiliate</t>
        </is>
      </c>
      <c r="E136" s="5" t="inlineStr">
        <is>
          <t>Australia</t>
        </is>
      </c>
      <c r="F136" s="5" t="n">
        <v>2024</v>
      </c>
      <c r="G136" s="5" t="n">
        <v>3</v>
      </c>
      <c r="H136" s="7" t="n">
        <v>370460</v>
      </c>
      <c r="I136" s="5" t="inlineStr">
        <is>
          <t>AUD</t>
        </is>
      </c>
      <c r="J136" s="8">
        <f>IF($I136="AUD",Assumptions!$B$2,Assumptions!$B$3)</f>
        <v/>
      </c>
      <c r="K136" s="9">
        <f>$G136*$H136*$J136</f>
        <v/>
      </c>
      <c r="L136" s="9">
        <f>$K136*Assumptions!$B$4</f>
        <v/>
      </c>
      <c r="M136" s="9">
        <f>RawTx[[#This Row],[Value USD]]/RawTx[[#This Row],[Quantity]]</f>
        <v/>
      </c>
      <c r="N136" s="9">
        <f>RawTx[[#This Row],[Value IDR]]/RawTx[[#This Row],[Quantity]]</f>
        <v/>
      </c>
      <c r="O136" s="4" t="inlineStr">
        <is>
          <t>CAT 795F ULTIMA BODY</t>
        </is>
      </c>
      <c r="P136" s="5" t="inlineStr">
        <is>
          <t>Caterpillar</t>
        </is>
      </c>
      <c r="Q136" s="13" t="inlineStr">
        <is>
          <t>795F</t>
        </is>
      </c>
      <c r="R136" s="7" t="n">
        <v>130206</v>
      </c>
      <c r="S136" s="7">
        <f>IFERROR($R136/$G136,"")</f>
        <v/>
      </c>
      <c r="T136" s="7" t="n">
        <v>44907</v>
      </c>
      <c r="U136" s="7" t="n">
        <v>4627.01</v>
      </c>
      <c r="V136" s="7" t="n">
        <v>1647690</v>
      </c>
      <c r="W136" s="9">
        <f>IF(ISNUMBER($T136),$T136*$J136*Assumptions!$B$4,"NA")</f>
        <v/>
      </c>
      <c r="X136" s="9">
        <f>IF(ISNUMBER($U136),$U136*$J136*Assumptions!$B$4,"NA")</f>
        <v/>
      </c>
      <c r="Y136" s="9">
        <f>IF(ISNUMBER($V136),$V136*$J136*Assumptions!$B$4,"NA")</f>
        <v/>
      </c>
    </row>
    <row r="137">
      <c r="A137" s="5" t="inlineStr">
        <is>
          <t>Austin Engineering</t>
        </is>
      </c>
      <c r="B137" s="11" t="inlineStr">
        <is>
          <t>Dump bodies/truck trays</t>
        </is>
      </c>
      <c r="C137" s="5" t="inlineStr">
        <is>
          <t>Austin Engineering Limited</t>
        </is>
      </c>
      <c r="D137" s="11" t="inlineStr">
        <is>
          <t>Parent/Affiliate</t>
        </is>
      </c>
      <c r="E137" s="5" t="inlineStr">
        <is>
          <t>Singapore</t>
        </is>
      </c>
      <c r="F137" s="5" t="n">
        <v>2024</v>
      </c>
      <c r="G137" s="5" t="n">
        <v>1</v>
      </c>
      <c r="H137" s="7" t="n">
        <v>192986</v>
      </c>
      <c r="I137" s="5" t="inlineStr">
        <is>
          <t>AUD</t>
        </is>
      </c>
      <c r="J137" s="8">
        <f>IF($I137="AUD",Assumptions!$B$2,Assumptions!$B$3)</f>
        <v/>
      </c>
      <c r="K137" s="9">
        <f>$G137*$H137*$J137</f>
        <v/>
      </c>
      <c r="L137" s="9">
        <f>$K137*Assumptions!$B$4</f>
        <v/>
      </c>
      <c r="M137" s="9">
        <f>RawTx[[#This Row],[Value USD]]/RawTx[[#This Row],[Quantity]]</f>
        <v/>
      </c>
      <c r="N137" s="9">
        <f>RawTx[[#This Row],[Value IDR]]/RawTx[[#This Row],[Quantity]]</f>
        <v/>
      </c>
      <c r="O137" s="4" t="inlineStr">
        <is>
          <t>930 HPT MAX STD C/W ACCESSORIES PO REFERENCE : 3014834160, 3014834161</t>
        </is>
      </c>
      <c r="P137" s="5" t="inlineStr">
        <is>
          <t>Komatsu</t>
        </is>
      </c>
      <c r="Q137" s="14" t="inlineStr">
        <is>
          <t>930</t>
        </is>
      </c>
      <c r="R137" s="7" t="n">
        <v>28143</v>
      </c>
      <c r="S137" s="7">
        <f>IFERROR($R137/$G137,"")</f>
        <v/>
      </c>
      <c r="T137" s="7" t="inlineStr">
        <is>
          <t>NA</t>
        </is>
      </c>
      <c r="U137" s="7" t="inlineStr">
        <is>
          <t>NA</t>
        </is>
      </c>
      <c r="V137" s="7" t="inlineStr">
        <is>
          <t>NA</t>
        </is>
      </c>
      <c r="W137" s="9">
        <f>IF(ISNUMBER($T137),$T137*$J137*Assumptions!$B$4,"NA")</f>
        <v/>
      </c>
      <c r="X137" s="9">
        <f>IF(ISNUMBER($U137),$U137*$J137*Assumptions!$B$4,"NA")</f>
        <v/>
      </c>
      <c r="Y137" s="9">
        <f>IF(ISNUMBER($V137),$V137*$J137*Assumptions!$B$4,"NA")</f>
        <v/>
      </c>
    </row>
    <row r="138">
      <c r="A138" s="5" t="inlineStr">
        <is>
          <t>Austin Engineering</t>
        </is>
      </c>
      <c r="B138" s="11" t="inlineStr">
        <is>
          <t>Dump bodies/truck trays</t>
        </is>
      </c>
      <c r="C138" s="5" t="inlineStr">
        <is>
          <t>Austin Engineering Limited</t>
        </is>
      </c>
      <c r="D138" s="11" t="inlineStr">
        <is>
          <t>Parent/Affiliate</t>
        </is>
      </c>
      <c r="E138" s="5" t="inlineStr">
        <is>
          <t>Singapore</t>
        </is>
      </c>
      <c r="F138" s="5" t="n">
        <v>2024</v>
      </c>
      <c r="G138" s="5" t="n">
        <v>2</v>
      </c>
      <c r="H138" s="7" t="n">
        <v>197742</v>
      </c>
      <c r="I138" s="5" t="inlineStr">
        <is>
          <t>AUD</t>
        </is>
      </c>
      <c r="J138" s="8">
        <f>IF($I138="AUD",Assumptions!$B$2,Assumptions!$B$3)</f>
        <v/>
      </c>
      <c r="K138" s="9">
        <f>$G138*$H138*$J138</f>
        <v/>
      </c>
      <c r="L138" s="9">
        <f>$K138*Assumptions!$B$4</f>
        <v/>
      </c>
      <c r="M138" s="9">
        <f>RawTx[[#This Row],[Value USD]]/RawTx[[#This Row],[Quantity]]</f>
        <v/>
      </c>
      <c r="N138" s="9">
        <f>RawTx[[#This Row],[Value IDR]]/RawTx[[#This Row],[Quantity]]</f>
        <v/>
      </c>
      <c r="O138" s="4" t="inlineStr">
        <is>
          <t>930 HPT MAX STD C/W ACCESSORIES PO REFERENCE : 3014834160, 3014834161</t>
        </is>
      </c>
      <c r="P138" s="5" t="inlineStr">
        <is>
          <t>Komatsu</t>
        </is>
      </c>
      <c r="Q138" s="14" t="inlineStr">
        <is>
          <t>930</t>
        </is>
      </c>
      <c r="R138" s="7" t="n">
        <v>62812</v>
      </c>
      <c r="S138" s="7">
        <f>IFERROR($R138/$G138,"")</f>
        <v/>
      </c>
      <c r="T138" s="7" t="inlineStr">
        <is>
          <t>NA</t>
        </is>
      </c>
      <c r="U138" s="7" t="inlineStr">
        <is>
          <t>NA</t>
        </is>
      </c>
      <c r="V138" s="7" t="inlineStr">
        <is>
          <t>NA</t>
        </is>
      </c>
      <c r="W138" s="9">
        <f>IF(ISNUMBER($T138),$T138*$J138*Assumptions!$B$4,"NA")</f>
        <v/>
      </c>
      <c r="X138" s="9">
        <f>IF(ISNUMBER($U138),$U138*$J138*Assumptions!$B$4,"NA")</f>
        <v/>
      </c>
      <c r="Y138" s="9">
        <f>IF(ISNUMBER($V138),$V138*$J138*Assumptions!$B$4,"NA")</f>
        <v/>
      </c>
    </row>
    <row r="139">
      <c r="A139" s="5" t="inlineStr">
        <is>
          <t>Austin Engineering</t>
        </is>
      </c>
      <c r="B139" s="11" t="inlineStr">
        <is>
          <t>Dump bodies/truck trays</t>
        </is>
      </c>
      <c r="C139" s="5" t="inlineStr">
        <is>
          <t>Austin Engineering Limited</t>
        </is>
      </c>
      <c r="D139" s="11" t="inlineStr">
        <is>
          <t>Parent/Affiliate</t>
        </is>
      </c>
      <c r="E139" s="5" t="inlineStr">
        <is>
          <t>Singapore</t>
        </is>
      </c>
      <c r="F139" s="5" t="n">
        <v>2024</v>
      </c>
      <c r="G139" s="5" t="n">
        <v>3</v>
      </c>
      <c r="H139" s="7" t="n">
        <v>195752</v>
      </c>
      <c r="I139" s="5" t="inlineStr">
        <is>
          <t>AUD</t>
        </is>
      </c>
      <c r="J139" s="8">
        <f>IF($I139="AUD",Assumptions!$B$2,Assumptions!$B$3)</f>
        <v/>
      </c>
      <c r="K139" s="9">
        <f>$G139*$H139*$J139</f>
        <v/>
      </c>
      <c r="L139" s="9">
        <f>$K139*Assumptions!$B$4</f>
        <v/>
      </c>
      <c r="M139" s="9">
        <f>RawTx[[#This Row],[Value USD]]/RawTx[[#This Row],[Quantity]]</f>
        <v/>
      </c>
      <c r="N139" s="9">
        <f>RawTx[[#This Row],[Value IDR]]/RawTx[[#This Row],[Quantity]]</f>
        <v/>
      </c>
      <c r="O139" s="4" t="inlineStr">
        <is>
          <t>830E-5 HPT MAX STD C/W ACCESSORIES PO REFERENCE : 3015034408, 30150383</t>
        </is>
      </c>
      <c r="P139" s="5" t="inlineStr">
        <is>
          <t>Komatsu</t>
        </is>
      </c>
      <c r="Q139" s="13" t="inlineStr">
        <is>
          <t>830E-5</t>
        </is>
      </c>
      <c r="R139" s="7" t="n">
        <v>84429</v>
      </c>
      <c r="S139" s="7">
        <f>IFERROR($R139/$G139,"")</f>
        <v/>
      </c>
      <c r="T139" s="7" t="inlineStr">
        <is>
          <t>NA</t>
        </is>
      </c>
      <c r="U139" s="7" t="inlineStr">
        <is>
          <t>NA</t>
        </is>
      </c>
      <c r="V139" s="7" t="inlineStr">
        <is>
          <t>NA</t>
        </is>
      </c>
      <c r="W139" s="9">
        <f>IF(ISNUMBER($T139),$T139*$J139*Assumptions!$B$4,"NA")</f>
        <v/>
      </c>
      <c r="X139" s="9">
        <f>IF(ISNUMBER($U139),$U139*$J139*Assumptions!$B$4,"NA")</f>
        <v/>
      </c>
      <c r="Y139" s="9">
        <f>IF(ISNUMBER($V139),$V139*$J139*Assumptions!$B$4,"NA")</f>
        <v/>
      </c>
    </row>
    <row r="140">
      <c r="A140" s="5" t="inlineStr">
        <is>
          <t>Austin Engineering</t>
        </is>
      </c>
      <c r="B140" s="11" t="inlineStr">
        <is>
          <t>Dump bodies/truck trays</t>
        </is>
      </c>
      <c r="C140" s="5" t="inlineStr">
        <is>
          <t>Lihir Gold Limited</t>
        </is>
      </c>
      <c r="D140" s="5" t="inlineStr">
        <is>
          <t>Owner</t>
        </is>
      </c>
      <c r="E140" s="5" t="inlineStr">
        <is>
          <t>Papua New Guinea</t>
        </is>
      </c>
      <c r="F140" s="5" t="n">
        <v>2024</v>
      </c>
      <c r="G140" s="5" t="n">
        <v>4</v>
      </c>
      <c r="H140" s="7" t="n">
        <v>66014</v>
      </c>
      <c r="I140" s="5" t="inlineStr">
        <is>
          <t>AUD</t>
        </is>
      </c>
      <c r="J140" s="8">
        <f>IF($I140="AUD",Assumptions!$B$2,Assumptions!$B$3)</f>
        <v/>
      </c>
      <c r="K140" s="9">
        <f>$G140*$H140*$J140</f>
        <v/>
      </c>
      <c r="L140" s="9">
        <f>$K140*Assumptions!$B$4</f>
        <v/>
      </c>
      <c r="M140" s="9">
        <f>RawTx[[#This Row],[Value USD]]/RawTx[[#This Row],[Quantity]]</f>
        <v/>
      </c>
      <c r="N140" s="9">
        <f>RawTx[[#This Row],[Value IDR]]/RawTx[[#This Row],[Quantity]]</f>
        <v/>
      </c>
      <c r="O140" s="4" t="inlineStr">
        <is>
          <t>CAT 785D HAUL TRUCK TRAY C/W ACCESSORIES</t>
        </is>
      </c>
      <c r="P140" s="5" t="inlineStr">
        <is>
          <t>Caterpillar</t>
        </is>
      </c>
      <c r="Q140" s="13" t="inlineStr">
        <is>
          <t>785D</t>
        </is>
      </c>
      <c r="R140" s="7" t="n">
        <v>88192</v>
      </c>
      <c r="S140" s="7">
        <f>IFERROR($R140/$G140,"")</f>
        <v/>
      </c>
      <c r="T140" s="7" t="n">
        <v>21441.3</v>
      </c>
      <c r="U140" s="7" t="n">
        <v>2209.21</v>
      </c>
      <c r="V140" s="7" t="n">
        <v>1056220</v>
      </c>
      <c r="W140" s="9">
        <f>IF(ISNUMBER($T140),$T140*$J140*Assumptions!$B$4,"NA")</f>
        <v/>
      </c>
      <c r="X140" s="9">
        <f>IF(ISNUMBER($U140),$U140*$J140*Assumptions!$B$4,"NA")</f>
        <v/>
      </c>
      <c r="Y140" s="9">
        <f>IF(ISNUMBER($V140),$V140*$J140*Assumptions!$B$4,"NA")</f>
        <v/>
      </c>
    </row>
    <row r="141">
      <c r="A141" s="5" t="inlineStr">
        <is>
          <t>Austin Engineering</t>
        </is>
      </c>
      <c r="B141" s="11" t="inlineStr">
        <is>
          <t>Dump bodies/truck trays</t>
        </is>
      </c>
      <c r="C141" s="5" t="inlineStr">
        <is>
          <t>Lihir Gold Limited</t>
        </is>
      </c>
      <c r="D141" s="5" t="inlineStr">
        <is>
          <t>Owner</t>
        </is>
      </c>
      <c r="E141" s="5" t="inlineStr">
        <is>
          <t>Papua New Guinea</t>
        </is>
      </c>
      <c r="F141" s="5" t="n">
        <v>2024</v>
      </c>
      <c r="G141" s="5" t="n">
        <v>4</v>
      </c>
      <c r="H141" s="7" t="n">
        <v>175675.55</v>
      </c>
      <c r="I141" s="5" t="inlineStr">
        <is>
          <t>AUD</t>
        </is>
      </c>
      <c r="J141" s="8">
        <f>IF($I141="AUD",Assumptions!$B$2,Assumptions!$B$3)</f>
        <v/>
      </c>
      <c r="K141" s="9">
        <f>$G141*$H141*$J141</f>
        <v/>
      </c>
      <c r="L141" s="9">
        <f>$K141*Assumptions!$B$4</f>
        <v/>
      </c>
      <c r="M141" s="9">
        <f>RawTx[[#This Row],[Value USD]]/RawTx[[#This Row],[Quantity]]</f>
        <v/>
      </c>
      <c r="N141" s="9">
        <f>RawTx[[#This Row],[Value IDR]]/RawTx[[#This Row],[Quantity]]</f>
        <v/>
      </c>
      <c r="O141" s="4" t="inlineStr">
        <is>
          <t>CAT 785D HAUL TRUCK TRAY C/W ACCESSORIES</t>
        </is>
      </c>
      <c r="P141" s="5" t="inlineStr">
        <is>
          <t>Caterpillar</t>
        </is>
      </c>
      <c r="Q141" s="13" t="inlineStr">
        <is>
          <t>785D</t>
        </is>
      </c>
      <c r="R141" s="7" t="n">
        <v>88192</v>
      </c>
      <c r="S141" s="7">
        <f>IFERROR($R141/$G141,"")</f>
        <v/>
      </c>
      <c r="T141" s="7" t="n">
        <v>21441.3</v>
      </c>
      <c r="U141" s="7" t="n">
        <v>2209.21</v>
      </c>
      <c r="V141" s="7" t="n">
        <v>1056220</v>
      </c>
      <c r="W141" s="9">
        <f>IF(ISNUMBER($T141),$T141*$J141*Assumptions!$B$4,"NA")</f>
        <v/>
      </c>
      <c r="X141" s="9">
        <f>IF(ISNUMBER($U141),$U141*$J141*Assumptions!$B$4,"NA")</f>
        <v/>
      </c>
      <c r="Y141" s="9">
        <f>IF(ISNUMBER($V141),$V141*$J141*Assumptions!$B$4,"NA")</f>
        <v/>
      </c>
    </row>
    <row r="142">
      <c r="A142" s="5" t="inlineStr">
        <is>
          <t>Austin Engineering</t>
        </is>
      </c>
      <c r="B142" s="11" t="inlineStr">
        <is>
          <t>Dump bodies/truck trays</t>
        </is>
      </c>
      <c r="C142" s="5" t="inlineStr">
        <is>
          <t>Pilbara Iron Company Services</t>
        </is>
      </c>
      <c r="D142" s="11" t="inlineStr">
        <is>
          <t>Contractor</t>
        </is>
      </c>
      <c r="E142" s="5" t="inlineStr">
        <is>
          <t>Australia</t>
        </is>
      </c>
      <c r="F142" s="5" t="n">
        <v>2024</v>
      </c>
      <c r="G142" s="5" t="n">
        <v>5</v>
      </c>
      <c r="H142" s="7" t="n">
        <v>211184</v>
      </c>
      <c r="I142" s="5" t="inlineStr">
        <is>
          <t>AUD</t>
        </is>
      </c>
      <c r="J142" s="8">
        <f>IF($I142="AUD",Assumptions!$B$2,Assumptions!$B$3)</f>
        <v/>
      </c>
      <c r="K142" s="9">
        <f>$G142*$H142*$J142</f>
        <v/>
      </c>
      <c r="L142" s="9">
        <f>$K142*Assumptions!$B$4</f>
        <v/>
      </c>
      <c r="M142" s="9">
        <f>RawTx[[#This Row],[Value USD]]/RawTx[[#This Row],[Quantity]]</f>
        <v/>
      </c>
      <c r="N142" s="9">
        <f>RawTx[[#This Row],[Value IDR]]/RawTx[[#This Row],[Quantity]]</f>
        <v/>
      </c>
      <c r="O142" s="4" t="inlineStr">
        <is>
          <t>KOMATSU HPT HD830-5 C/W ACCESSORIES</t>
        </is>
      </c>
      <c r="P142" s="5" t="inlineStr">
        <is>
          <t>Komatsu</t>
        </is>
      </c>
      <c r="Q142" s="13" t="inlineStr">
        <is>
          <t>HD830-5</t>
        </is>
      </c>
      <c r="R142" s="7" t="n">
        <v>156000</v>
      </c>
      <c r="S142" s="7">
        <f>IFERROR($R142/$G142,"")</f>
        <v/>
      </c>
      <c r="T142" s="7" t="n">
        <v>105514</v>
      </c>
      <c r="U142" s="7" t="n">
        <v>10871.7</v>
      </c>
      <c r="V142" s="7" t="n">
        <v>1590610</v>
      </c>
      <c r="W142" s="9">
        <f>IF(ISNUMBER($T142),$T142*$J142*Assumptions!$B$4,"NA")</f>
        <v/>
      </c>
      <c r="X142" s="9">
        <f>IF(ISNUMBER($U142),$U142*$J142*Assumptions!$B$4,"NA")</f>
        <v/>
      </c>
      <c r="Y142" s="9">
        <f>IF(ISNUMBER($V142),$V142*$J142*Assumptions!$B$4,"NA")</f>
        <v/>
      </c>
    </row>
    <row r="143">
      <c r="A143" s="5" t="inlineStr">
        <is>
          <t>Austin Engineering</t>
        </is>
      </c>
      <c r="B143" s="11" t="inlineStr">
        <is>
          <t>Dump bodies/truck trays</t>
        </is>
      </c>
      <c r="C143" s="5" t="inlineStr">
        <is>
          <t>Pilbara Iron Company Services</t>
        </is>
      </c>
      <c r="D143" s="11" t="inlineStr">
        <is>
          <t>Contractor</t>
        </is>
      </c>
      <c r="E143" s="5" t="inlineStr">
        <is>
          <t>Australia</t>
        </is>
      </c>
      <c r="F143" s="5" t="n">
        <v>2024</v>
      </c>
      <c r="G143" s="5" t="n">
        <v>3</v>
      </c>
      <c r="H143" s="7" t="n">
        <v>213923.33</v>
      </c>
      <c r="I143" s="5" t="inlineStr">
        <is>
          <t>AUD</t>
        </is>
      </c>
      <c r="J143" s="8">
        <f>IF($I143="AUD",Assumptions!$B$2,Assumptions!$B$3)</f>
        <v/>
      </c>
      <c r="K143" s="9">
        <f>$G143*$H143*$J143</f>
        <v/>
      </c>
      <c r="L143" s="9">
        <f>$K143*Assumptions!$B$4</f>
        <v/>
      </c>
      <c r="M143" s="9">
        <f>RawTx[[#This Row],[Value USD]]/RawTx[[#This Row],[Quantity]]</f>
        <v/>
      </c>
      <c r="N143" s="9">
        <f>RawTx[[#This Row],[Value IDR]]/RawTx[[#This Row],[Quantity]]</f>
        <v/>
      </c>
      <c r="O143" s="4" t="inlineStr">
        <is>
          <t>KOMATSU HPT HD830-5 C/W ACCESSORIES</t>
        </is>
      </c>
      <c r="P143" s="5" t="inlineStr">
        <is>
          <t>Komatsu</t>
        </is>
      </c>
      <c r="Q143" s="13" t="inlineStr">
        <is>
          <t>HD830-5</t>
        </is>
      </c>
      <c r="R143" s="7" t="n">
        <v>93600</v>
      </c>
      <c r="S143" s="7">
        <f>IFERROR($R143/$G143,"")</f>
        <v/>
      </c>
      <c r="T143" s="7" t="n">
        <v>105514</v>
      </c>
      <c r="U143" s="7" t="n">
        <v>10871.7</v>
      </c>
      <c r="V143" s="7" t="n">
        <v>966745</v>
      </c>
      <c r="W143" s="9">
        <f>IF(ISNUMBER($T143),$T143*$J143*Assumptions!$B$4,"NA")</f>
        <v/>
      </c>
      <c r="X143" s="9">
        <f>IF(ISNUMBER($U143),$U143*$J143*Assumptions!$B$4,"NA")</f>
        <v/>
      </c>
      <c r="Y143" s="9">
        <f>IF(ISNUMBER($V143),$V143*$J143*Assumptions!$B$4,"NA")</f>
        <v/>
      </c>
    </row>
    <row r="144">
      <c r="A144" s="5" t="inlineStr">
        <is>
          <t>Austin Engineering</t>
        </is>
      </c>
      <c r="B144" s="11" t="inlineStr">
        <is>
          <t>Dump bodies/truck trays</t>
        </is>
      </c>
      <c r="C144" s="5" t="inlineStr">
        <is>
          <t>Pilbara Iron Company Services</t>
        </is>
      </c>
      <c r="D144" s="11" t="inlineStr">
        <is>
          <t>Contractor</t>
        </is>
      </c>
      <c r="E144" s="5" t="inlineStr">
        <is>
          <t>Australia</t>
        </is>
      </c>
      <c r="F144" s="5" t="n">
        <v>2024</v>
      </c>
      <c r="G144" s="5" t="n">
        <v>4</v>
      </c>
      <c r="H144" s="7" t="n">
        <v>195116.25</v>
      </c>
      <c r="I144" s="5" t="inlineStr">
        <is>
          <t>AUD</t>
        </is>
      </c>
      <c r="J144" s="8">
        <f>IF($I144="AUD",Assumptions!$B$2,Assumptions!$B$3)</f>
        <v/>
      </c>
      <c r="K144" s="9">
        <f>$G144*$H144*$J144</f>
        <v/>
      </c>
      <c r="L144" s="9">
        <f>$K144*Assumptions!$B$4</f>
        <v/>
      </c>
      <c r="M144" s="9">
        <f>RawTx[[#This Row],[Value USD]]/RawTx[[#This Row],[Quantity]]</f>
        <v/>
      </c>
      <c r="N144" s="9">
        <f>RawTx[[#This Row],[Value IDR]]/RawTx[[#This Row],[Quantity]]</f>
        <v/>
      </c>
      <c r="O144" s="4" t="inlineStr">
        <is>
          <t>930 HPT MAX STD C/W ACCESSORIES</t>
        </is>
      </c>
      <c r="P144" s="5" t="inlineStr">
        <is>
          <t>Komatsu</t>
        </is>
      </c>
      <c r="Q144" s="14" t="inlineStr">
        <is>
          <t>930</t>
        </is>
      </c>
      <c r="R144" s="7" t="n">
        <v>121904</v>
      </c>
      <c r="S144" s="7">
        <f>IFERROR($R144/$G144,"")</f>
        <v/>
      </c>
      <c r="T144" s="7" t="n">
        <v>105514</v>
      </c>
      <c r="U144" s="7" t="n">
        <v>10871.7</v>
      </c>
      <c r="V144" s="7" t="n">
        <v>1175670</v>
      </c>
      <c r="W144" s="9">
        <f>IF(ISNUMBER($T144),$T144*$J144*Assumptions!$B$4,"NA")</f>
        <v/>
      </c>
      <c r="X144" s="9">
        <f>IF(ISNUMBER($U144),$U144*$J144*Assumptions!$B$4,"NA")</f>
        <v/>
      </c>
      <c r="Y144" s="9">
        <f>IF(ISNUMBER($V144),$V144*$J144*Assumptions!$B$4,"NA")</f>
        <v/>
      </c>
    </row>
    <row r="145">
      <c r="A145" s="5" t="inlineStr">
        <is>
          <t>Austin Engineering</t>
        </is>
      </c>
      <c r="B145" s="11" t="inlineStr">
        <is>
          <t>Dump bodies/truck trays</t>
        </is>
      </c>
      <c r="C145" s="5" t="inlineStr">
        <is>
          <t>Pilbara Iron Company Services</t>
        </is>
      </c>
      <c r="D145" s="11" t="inlineStr">
        <is>
          <t>Contractor</t>
        </is>
      </c>
      <c r="E145" s="5" t="inlineStr">
        <is>
          <t>Australia</t>
        </is>
      </c>
      <c r="F145" s="5" t="n">
        <v>2024</v>
      </c>
      <c r="G145" s="5" t="n">
        <v>1</v>
      </c>
      <c r="H145" s="7" t="n">
        <v>219679</v>
      </c>
      <c r="I145" s="5" t="inlineStr">
        <is>
          <t>AUD</t>
        </is>
      </c>
      <c r="J145" s="8">
        <f>IF($I145="AUD",Assumptions!$B$2,Assumptions!$B$3)</f>
        <v/>
      </c>
      <c r="K145" s="9">
        <f>$G145*$H145*$J145</f>
        <v/>
      </c>
      <c r="L145" s="9">
        <f>$K145*Assumptions!$B$4</f>
        <v/>
      </c>
      <c r="M145" s="9">
        <f>RawTx[[#This Row],[Value USD]]/RawTx[[#This Row],[Quantity]]</f>
        <v/>
      </c>
      <c r="N145" s="9">
        <f>RawTx[[#This Row],[Value IDR]]/RawTx[[#This Row],[Quantity]]</f>
        <v/>
      </c>
      <c r="O145" s="4" t="inlineStr">
        <is>
          <t>930 HPT MAX STD C/W ACCESSORIES</t>
        </is>
      </c>
      <c r="P145" s="5" t="inlineStr">
        <is>
          <t>Komatsu</t>
        </is>
      </c>
      <c r="Q145" s="14" t="inlineStr">
        <is>
          <t>930</t>
        </is>
      </c>
      <c r="R145" s="7" t="n">
        <v>30476</v>
      </c>
      <c r="S145" s="7">
        <f>IFERROR($R145/$G145,"")</f>
        <v/>
      </c>
      <c r="T145" s="7" t="n">
        <v>105514</v>
      </c>
      <c r="U145" s="7" t="n">
        <v>10871.7</v>
      </c>
      <c r="V145" s="7" t="n">
        <v>330918</v>
      </c>
      <c r="W145" s="9">
        <f>IF(ISNUMBER($T145),$T145*$J145*Assumptions!$B$4,"NA")</f>
        <v/>
      </c>
      <c r="X145" s="9">
        <f>IF(ISNUMBER($U145),$U145*$J145*Assumptions!$B$4,"NA")</f>
        <v/>
      </c>
      <c r="Y145" s="9">
        <f>IF(ISNUMBER($V145),$V145*$J145*Assumptions!$B$4,"NA")</f>
        <v/>
      </c>
    </row>
    <row r="146">
      <c r="A146" s="5" t="inlineStr">
        <is>
          <t>Austin Engineering</t>
        </is>
      </c>
      <c r="B146" s="11" t="inlineStr">
        <is>
          <t>Dump bodies/truck trays</t>
        </is>
      </c>
      <c r="C146" s="5" t="inlineStr">
        <is>
          <t>Pilbara Iron Company Services</t>
        </is>
      </c>
      <c r="D146" s="11" t="inlineStr">
        <is>
          <t>Contractor</t>
        </is>
      </c>
      <c r="E146" s="5" t="inlineStr">
        <is>
          <t>Australia</t>
        </is>
      </c>
      <c r="F146" s="5" t="n">
        <v>2024</v>
      </c>
      <c r="G146" s="5" t="n">
        <v>4</v>
      </c>
      <c r="H146" s="7" t="n">
        <v>188169</v>
      </c>
      <c r="I146" s="5" t="inlineStr">
        <is>
          <t>AUD</t>
        </is>
      </c>
      <c r="J146" s="8">
        <f>IF($I146="AUD",Assumptions!$B$2,Assumptions!$B$3)</f>
        <v/>
      </c>
      <c r="K146" s="9">
        <f>$G146*$H146*$J146</f>
        <v/>
      </c>
      <c r="L146" s="9">
        <f>$K146*Assumptions!$B$4</f>
        <v/>
      </c>
      <c r="M146" s="9">
        <f>RawTx[[#This Row],[Value USD]]/RawTx[[#This Row],[Quantity]]</f>
        <v/>
      </c>
      <c r="N146" s="9">
        <f>RawTx[[#This Row],[Value IDR]]/RawTx[[#This Row],[Quantity]]</f>
        <v/>
      </c>
      <c r="O146" s="4" t="inlineStr">
        <is>
          <t>BODY 830E HPT MAX HD C/W ACCESSORIES</t>
        </is>
      </c>
      <c r="P146" s="5" t="inlineStr">
        <is>
          <t>Komatsu</t>
        </is>
      </c>
      <c r="Q146" s="13" t="inlineStr">
        <is>
          <t>830E</t>
        </is>
      </c>
      <c r="R146" s="7" t="n">
        <v>110844</v>
      </c>
      <c r="S146" s="7">
        <f>IFERROR($R146/$G146,"")</f>
        <v/>
      </c>
      <c r="T146" s="7" t="n">
        <v>105514</v>
      </c>
      <c r="U146" s="7" t="n">
        <v>10871.7</v>
      </c>
      <c r="V146" s="7" t="n">
        <v>1133810</v>
      </c>
      <c r="W146" s="9">
        <f>IF(ISNUMBER($T146),$T146*$J146*Assumptions!$B$4,"NA")</f>
        <v/>
      </c>
      <c r="X146" s="9">
        <f>IF(ISNUMBER($U146),$U146*$J146*Assumptions!$B$4,"NA")</f>
        <v/>
      </c>
      <c r="Y146" s="9">
        <f>IF(ISNUMBER($V146),$V146*$J146*Assumptions!$B$4,"NA")</f>
        <v/>
      </c>
    </row>
    <row r="147">
      <c r="A147" s="5" t="inlineStr">
        <is>
          <t>Austin Engineering</t>
        </is>
      </c>
      <c r="B147" s="11" t="inlineStr">
        <is>
          <t>Dump bodies/truck trays</t>
        </is>
      </c>
      <c r="C147" s="5" t="inlineStr">
        <is>
          <t>Pilbara Iron Company Services</t>
        </is>
      </c>
      <c r="D147" s="11" t="inlineStr">
        <is>
          <t>Contractor</t>
        </is>
      </c>
      <c r="E147" s="5" t="inlineStr">
        <is>
          <t>Australia</t>
        </is>
      </c>
      <c r="F147" s="5" t="n">
        <v>2024</v>
      </c>
      <c r="G147" s="5" t="n">
        <v>5</v>
      </c>
      <c r="H147" s="7" t="n">
        <v>219472</v>
      </c>
      <c r="I147" s="5" t="inlineStr">
        <is>
          <t>AUD</t>
        </is>
      </c>
      <c r="J147" s="8">
        <f>IF($I147="AUD",Assumptions!$B$2,Assumptions!$B$3)</f>
        <v/>
      </c>
      <c r="K147" s="9">
        <f>$G147*$H147*$J147</f>
        <v/>
      </c>
      <c r="L147" s="9">
        <f>$K147*Assumptions!$B$4</f>
        <v/>
      </c>
      <c r="M147" s="9">
        <f>RawTx[[#This Row],[Value USD]]/RawTx[[#This Row],[Quantity]]</f>
        <v/>
      </c>
      <c r="N147" s="9">
        <f>RawTx[[#This Row],[Value IDR]]/RawTx[[#This Row],[Quantity]]</f>
        <v/>
      </c>
      <c r="O147" s="4" t="inlineStr">
        <is>
          <t>793F HPT MAX STD C/W ACCESSORIES</t>
        </is>
      </c>
      <c r="P147" s="5" t="inlineStr">
        <is>
          <t>Caterpillar</t>
        </is>
      </c>
      <c r="Q147" s="14" t="inlineStr">
        <is>
          <t>793F</t>
        </is>
      </c>
      <c r="R147" s="7" t="n">
        <v>129155</v>
      </c>
      <c r="S147" s="7">
        <f>IFERROR($R147/$G147,"")</f>
        <v/>
      </c>
      <c r="T147" s="7" t="n">
        <v>100604</v>
      </c>
      <c r="U147" s="7" t="n">
        <v>10365.7</v>
      </c>
      <c r="V147" s="7" t="n">
        <v>1638770</v>
      </c>
      <c r="W147" s="9">
        <f>IF(ISNUMBER($T147),$T147*$J147*Assumptions!$B$4,"NA")</f>
        <v/>
      </c>
      <c r="X147" s="9">
        <f>IF(ISNUMBER($U147),$U147*$J147*Assumptions!$B$4,"NA")</f>
        <v/>
      </c>
      <c r="Y147" s="9">
        <f>IF(ISNUMBER($V147),$V147*$J147*Assumptions!$B$4,"NA")</f>
        <v/>
      </c>
    </row>
    <row r="148">
      <c r="A148" s="5" t="inlineStr">
        <is>
          <t>Austin Engineering</t>
        </is>
      </c>
      <c r="B148" s="11" t="inlineStr">
        <is>
          <t>Dump bodies/truck trays</t>
        </is>
      </c>
      <c r="C148" s="5" t="inlineStr">
        <is>
          <t>Pilbara Iron Company Services</t>
        </is>
      </c>
      <c r="D148" s="11" t="inlineStr">
        <is>
          <t>Contractor</t>
        </is>
      </c>
      <c r="E148" s="5" t="inlineStr">
        <is>
          <t>Australia</t>
        </is>
      </c>
      <c r="F148" s="5" t="n">
        <v>2024</v>
      </c>
      <c r="G148" s="5" t="n">
        <v>10</v>
      </c>
      <c r="H148" s="7" t="n">
        <v>222118</v>
      </c>
      <c r="I148" s="5" t="inlineStr">
        <is>
          <t>AUD</t>
        </is>
      </c>
      <c r="J148" s="8">
        <f>IF($I148="AUD",Assumptions!$B$2,Assumptions!$B$3)</f>
        <v/>
      </c>
      <c r="K148" s="9">
        <f>$G148*$H148*$J148</f>
        <v/>
      </c>
      <c r="L148" s="9">
        <f>$K148*Assumptions!$B$4</f>
        <v/>
      </c>
      <c r="M148" s="9">
        <f>RawTx[[#This Row],[Value USD]]/RawTx[[#This Row],[Quantity]]</f>
        <v/>
      </c>
      <c r="N148" s="9">
        <f>RawTx[[#This Row],[Value IDR]]/RawTx[[#This Row],[Quantity]]</f>
        <v/>
      </c>
      <c r="O148" s="4" t="inlineStr">
        <is>
          <t>793F HPT MAX STD C/W ACCESSORIES AND DYNEMA STRAPS</t>
        </is>
      </c>
      <c r="P148" s="5" t="inlineStr">
        <is>
          <t>Caterpillar</t>
        </is>
      </c>
      <c r="Q148" s="14" t="inlineStr">
        <is>
          <t>793F</t>
        </is>
      </c>
      <c r="R148" s="7" t="n">
        <v>258310</v>
      </c>
      <c r="S148" s="7">
        <f>IFERROR($R148/$G148,"")</f>
        <v/>
      </c>
      <c r="T148" s="7" t="n">
        <v>100604</v>
      </c>
      <c r="U148" s="7" t="n">
        <v>10365.7</v>
      </c>
      <c r="V148" s="7" t="n">
        <v>3317080</v>
      </c>
      <c r="W148" s="9">
        <f>IF(ISNUMBER($T148),$T148*$J148*Assumptions!$B$4,"NA")</f>
        <v/>
      </c>
      <c r="X148" s="9">
        <f>IF(ISNUMBER($U148),$U148*$J148*Assumptions!$B$4,"NA")</f>
        <v/>
      </c>
      <c r="Y148" s="9">
        <f>IF(ISNUMBER($V148),$V148*$J148*Assumptions!$B$4,"NA")</f>
        <v/>
      </c>
    </row>
    <row r="149">
      <c r="A149" s="5" t="inlineStr">
        <is>
          <t>Austin Engineering</t>
        </is>
      </c>
      <c r="B149" s="11" t="inlineStr">
        <is>
          <t>Dump bodies/truck trays</t>
        </is>
      </c>
      <c r="C149" s="5" t="inlineStr">
        <is>
          <t>Kibali Gold Mines SA KGM</t>
        </is>
      </c>
      <c r="D149" s="5" t="inlineStr">
        <is>
          <t>Owner</t>
        </is>
      </c>
      <c r="E149" s="5" t="inlineStr">
        <is>
          <t>Congo, Dem. Rep.</t>
        </is>
      </c>
      <c r="F149" s="5" t="n">
        <v>2024</v>
      </c>
      <c r="G149" s="5" t="n">
        <v>3</v>
      </c>
      <c r="H149" s="7" t="n">
        <v>147797</v>
      </c>
      <c r="I149" s="5" t="inlineStr">
        <is>
          <t>USD</t>
        </is>
      </c>
      <c r="J149" s="8">
        <f>IF($I149="AUD",Assumptions!$B$2,Assumptions!$B$3)</f>
        <v/>
      </c>
      <c r="K149" s="9">
        <f>$G149*$H149*$J149</f>
        <v/>
      </c>
      <c r="L149" s="9">
        <f>$K149*Assumptions!$B$4</f>
        <v/>
      </c>
      <c r="M149" s="9">
        <f>RawTx[[#This Row],[Value USD]]/RawTx[[#This Row],[Quantity]]</f>
        <v/>
      </c>
      <c r="N149" s="9">
        <f>RawTx[[#This Row],[Value IDR]]/RawTx[[#This Row],[Quantity]]</f>
        <v/>
      </c>
      <c r="O149" s="4" t="inlineStr">
        <is>
          <t>CAT 777E Ü ULTIMA BODY SG 1.9 C/W ACCESSORIES</t>
        </is>
      </c>
      <c r="P149" s="5" t="inlineStr">
        <is>
          <t>Caterpillar</t>
        </is>
      </c>
      <c r="Q149" s="13" t="inlineStr">
        <is>
          <t>777E</t>
        </is>
      </c>
      <c r="R149" s="7" t="n">
        <v>47010</v>
      </c>
      <c r="S149" s="7">
        <f>IFERROR($R149/$G149,"")</f>
        <v/>
      </c>
      <c r="T149" s="7" t="n">
        <v>22302.6</v>
      </c>
      <c r="U149" s="7" t="n">
        <v>954.67</v>
      </c>
      <c r="V149" s="7" t="n">
        <v>443391</v>
      </c>
      <c r="W149" s="9">
        <f>IF(ISNUMBER($T149),$T149*$J149*Assumptions!$B$4,"NA")</f>
        <v/>
      </c>
      <c r="X149" s="9">
        <f>IF(ISNUMBER($U149),$U149*$J149*Assumptions!$B$4,"NA")</f>
        <v/>
      </c>
      <c r="Y149" s="9">
        <f>IF(ISNUMBER($V149),$V149*$J149*Assumptions!$B$4,"NA")</f>
        <v/>
      </c>
    </row>
    <row r="150">
      <c r="A150" s="5" t="inlineStr">
        <is>
          <t>Austin Engineering</t>
        </is>
      </c>
      <c r="B150" s="11" t="inlineStr">
        <is>
          <t>Dump bodies/truck trays</t>
        </is>
      </c>
      <c r="C150" s="5" t="inlineStr">
        <is>
          <t>Kibali Gold Mines SA KGM</t>
        </is>
      </c>
      <c r="D150" s="5" t="inlineStr">
        <is>
          <t>Owner</t>
        </is>
      </c>
      <c r="E150" s="5" t="inlineStr">
        <is>
          <t>Congo, Dem. Rep.</t>
        </is>
      </c>
      <c r="F150" s="5" t="n">
        <v>2024</v>
      </c>
      <c r="G150" s="5" t="n">
        <v>2</v>
      </c>
      <c r="H150" s="7" t="n">
        <v>147797</v>
      </c>
      <c r="I150" s="5" t="inlineStr">
        <is>
          <t>USD</t>
        </is>
      </c>
      <c r="J150" s="8">
        <f>IF($I150="AUD",Assumptions!$B$2,Assumptions!$B$3)</f>
        <v/>
      </c>
      <c r="K150" s="9">
        <f>$G150*$H150*$J150</f>
        <v/>
      </c>
      <c r="L150" s="9">
        <f>$K150*Assumptions!$B$4</f>
        <v/>
      </c>
      <c r="M150" s="9">
        <f>RawTx[[#This Row],[Value USD]]/RawTx[[#This Row],[Quantity]]</f>
        <v/>
      </c>
      <c r="N150" s="9">
        <f>RawTx[[#This Row],[Value IDR]]/RawTx[[#This Row],[Quantity]]</f>
        <v/>
      </c>
      <c r="O150" s="4" t="inlineStr">
        <is>
          <t>CAT 777E Ü ULTIMA BODY SG 1.9 C/W ACCESSORIES</t>
        </is>
      </c>
      <c r="P150" s="5" t="inlineStr">
        <is>
          <t>Caterpillar</t>
        </is>
      </c>
      <c r="Q150" s="13" t="inlineStr">
        <is>
          <t>777E</t>
        </is>
      </c>
      <c r="R150" s="7" t="n">
        <v>31340</v>
      </c>
      <c r="S150" s="7">
        <f>IFERROR($R150/$G150,"")</f>
        <v/>
      </c>
      <c r="T150" s="7" t="n">
        <v>14868.4</v>
      </c>
      <c r="U150" s="7" t="n">
        <v>636.45</v>
      </c>
      <c r="V150" s="7" t="n">
        <v>295594</v>
      </c>
      <c r="W150" s="9">
        <f>IF(ISNUMBER($T150),$T150*$J150*Assumptions!$B$4,"NA")</f>
        <v/>
      </c>
      <c r="X150" s="9">
        <f>IF(ISNUMBER($U150),$U150*$J150*Assumptions!$B$4,"NA")</f>
        <v/>
      </c>
      <c r="Y150" s="9">
        <f>IF(ISNUMBER($V150),$V150*$J150*Assumptions!$B$4,"NA")</f>
        <v/>
      </c>
    </row>
    <row r="151">
      <c r="A151" s="5" t="inlineStr">
        <is>
          <t>Austin Engineering</t>
        </is>
      </c>
      <c r="B151" s="11" t="inlineStr">
        <is>
          <t>Dump bodies/truck trays</t>
        </is>
      </c>
      <c r="C151" s="5" t="inlineStr">
        <is>
          <t>Kibali Gold Mines SA KGM</t>
        </is>
      </c>
      <c r="D151" s="5" t="inlineStr">
        <is>
          <t>Owner</t>
        </is>
      </c>
      <c r="E151" s="5" t="inlineStr">
        <is>
          <t>Congo, Dem. Rep.</t>
        </is>
      </c>
      <c r="F151" s="5" t="n">
        <v>2024</v>
      </c>
      <c r="G151" s="5" t="n">
        <v>2</v>
      </c>
      <c r="H151" s="7" t="n">
        <v>149222</v>
      </c>
      <c r="I151" s="5" t="inlineStr">
        <is>
          <t>USD</t>
        </is>
      </c>
      <c r="J151" s="8">
        <f>IF($I151="AUD",Assumptions!$B$2,Assumptions!$B$3)</f>
        <v/>
      </c>
      <c r="K151" s="9">
        <f>$G151*$H151*$J151</f>
        <v/>
      </c>
      <c r="L151" s="9">
        <f>$K151*Assumptions!$B$4</f>
        <v/>
      </c>
      <c r="M151" s="9">
        <f>RawTx[[#This Row],[Value USD]]/RawTx[[#This Row],[Quantity]]</f>
        <v/>
      </c>
      <c r="N151" s="9">
        <f>RawTx[[#This Row],[Value IDR]]/RawTx[[#This Row],[Quantity]]</f>
        <v/>
      </c>
      <c r="O151" s="4" t="inlineStr">
        <is>
          <t>CAT 777E – ULTIMA BODY SG 1.9 C/W ACCESSORIES</t>
        </is>
      </c>
      <c r="P151" s="5" t="inlineStr">
        <is>
          <t>Caterpillar</t>
        </is>
      </c>
      <c r="Q151" s="13" t="inlineStr">
        <is>
          <t>777E</t>
        </is>
      </c>
      <c r="R151" s="7" t="n">
        <v>31340</v>
      </c>
      <c r="S151" s="7">
        <f>IFERROR($R151/$G151,"")</f>
        <v/>
      </c>
      <c r="T151" s="7" t="n">
        <v>15011.7</v>
      </c>
      <c r="U151" s="7" t="n">
        <v>642.58</v>
      </c>
      <c r="V151" s="7" t="n">
        <v>298444</v>
      </c>
      <c r="W151" s="9">
        <f>IF(ISNUMBER($T151),$T151*$J151*Assumptions!$B$4,"NA")</f>
        <v/>
      </c>
      <c r="X151" s="9">
        <f>IF(ISNUMBER($U151),$U151*$J151*Assumptions!$B$4,"NA")</f>
        <v/>
      </c>
      <c r="Y151" s="9">
        <f>IF(ISNUMBER($V151),$V151*$J151*Assumptions!$B$4,"NA")</f>
        <v/>
      </c>
    </row>
    <row r="152">
      <c r="A152" s="5" t="inlineStr">
        <is>
          <t>Austin Engineering</t>
        </is>
      </c>
      <c r="B152" s="11" t="inlineStr">
        <is>
          <t>Dump bodies/truck trays</t>
        </is>
      </c>
      <c r="C152" s="5" t="inlineStr">
        <is>
          <t>Kibali Gold Mines SA KGM</t>
        </is>
      </c>
      <c r="D152" s="5" t="inlineStr">
        <is>
          <t>Owner</t>
        </is>
      </c>
      <c r="E152" s="5" t="inlineStr">
        <is>
          <t>Congo, Dem. Rep.</t>
        </is>
      </c>
      <c r="F152" s="5" t="n">
        <v>2024</v>
      </c>
      <c r="G152" s="5" t="n">
        <v>6</v>
      </c>
      <c r="H152" s="7" t="n">
        <v>148272</v>
      </c>
      <c r="I152" s="5" t="inlineStr">
        <is>
          <t>USD</t>
        </is>
      </c>
      <c r="J152" s="8">
        <f>IF($I152="AUD",Assumptions!$B$2,Assumptions!$B$3)</f>
        <v/>
      </c>
      <c r="K152" s="9">
        <f>$G152*$H152*$J152</f>
        <v/>
      </c>
      <c r="L152" s="9">
        <f>$K152*Assumptions!$B$4</f>
        <v/>
      </c>
      <c r="M152" s="9">
        <f>RawTx[[#This Row],[Value USD]]/RawTx[[#This Row],[Quantity]]</f>
        <v/>
      </c>
      <c r="N152" s="9">
        <f>RawTx[[#This Row],[Value IDR]]/RawTx[[#This Row],[Quantity]]</f>
        <v/>
      </c>
      <c r="O152" s="4" t="inlineStr">
        <is>
          <t>CAT 777E – ULTIMA BODY SG 1.9 C/W ACCESSORIES</t>
        </is>
      </c>
      <c r="P152" s="5" t="inlineStr">
        <is>
          <t>Caterpillar</t>
        </is>
      </c>
      <c r="Q152" s="13" t="inlineStr">
        <is>
          <t>777E</t>
        </is>
      </c>
      <c r="R152" s="7" t="n">
        <v>94020</v>
      </c>
      <c r="S152" s="7">
        <f>IFERROR($R152/$G152,"")</f>
        <v/>
      </c>
      <c r="T152" s="7" t="n">
        <v>44748.5</v>
      </c>
      <c r="U152" s="7" t="n">
        <v>1915.48</v>
      </c>
      <c r="V152" s="7" t="n">
        <v>889632</v>
      </c>
      <c r="W152" s="9">
        <f>IF(ISNUMBER($T152),$T152*$J152*Assumptions!$B$4,"NA")</f>
        <v/>
      </c>
      <c r="X152" s="9">
        <f>IF(ISNUMBER($U152),$U152*$J152*Assumptions!$B$4,"NA")</f>
        <v/>
      </c>
      <c r="Y152" s="9">
        <f>IF(ISNUMBER($V152),$V152*$J152*Assumptions!$B$4,"NA")</f>
        <v/>
      </c>
    </row>
    <row r="153">
      <c r="A153" s="5" t="inlineStr">
        <is>
          <t>Austin Engineering</t>
        </is>
      </c>
      <c r="B153" s="11" t="inlineStr">
        <is>
          <t>Dump bodies/truck trays</t>
        </is>
      </c>
      <c r="C153" s="5" t="inlineStr">
        <is>
          <t>Kibali Gold Mines SA KGM</t>
        </is>
      </c>
      <c r="D153" s="5" t="inlineStr">
        <is>
          <t>Owner</t>
        </is>
      </c>
      <c r="E153" s="5" t="inlineStr">
        <is>
          <t>Congo, Dem. Rep.</t>
        </is>
      </c>
      <c r="F153" s="5" t="n">
        <v>2024</v>
      </c>
      <c r="G153" s="5" t="n">
        <v>9</v>
      </c>
      <c r="H153" s="7" t="n">
        <v>143505.56</v>
      </c>
      <c r="I153" s="5" t="inlineStr">
        <is>
          <t>USD</t>
        </is>
      </c>
      <c r="J153" s="8">
        <f>IF($I153="AUD",Assumptions!$B$2,Assumptions!$B$3)</f>
        <v/>
      </c>
      <c r="K153" s="9">
        <f>$G153*$H153*$J153</f>
        <v/>
      </c>
      <c r="L153" s="9">
        <f>$K153*Assumptions!$B$4</f>
        <v/>
      </c>
      <c r="M153" s="9">
        <f>RawTx[[#This Row],[Value USD]]/RawTx[[#This Row],[Quantity]]</f>
        <v/>
      </c>
      <c r="N153" s="9">
        <f>RawTx[[#This Row],[Value IDR]]/RawTx[[#This Row],[Quantity]]</f>
        <v/>
      </c>
      <c r="O153" s="4" t="inlineStr">
        <is>
          <t>CAT 777 ULTIMA BODY + ACCESSORIES</t>
        </is>
      </c>
      <c r="P153" s="5" t="inlineStr">
        <is>
          <t>Caterpillar</t>
        </is>
      </c>
      <c r="Q153" s="13" t="n">
        <v>777</v>
      </c>
      <c r="R153" s="7" t="n">
        <v>135765</v>
      </c>
      <c r="S153" s="7">
        <f>IFERROR($R153/$G153,"")</f>
        <v/>
      </c>
      <c r="T153" s="7" t="inlineStr">
        <is>
          <t>NA</t>
        </is>
      </c>
      <c r="U153" s="7" t="inlineStr">
        <is>
          <t>NA</t>
        </is>
      </c>
      <c r="V153" s="7" t="inlineStr">
        <is>
          <t>NA</t>
        </is>
      </c>
      <c r="W153" s="9">
        <f>IF(ISNUMBER($T153),$T153*$J153*Assumptions!$B$4,"NA")</f>
        <v/>
      </c>
      <c r="X153" s="9">
        <f>IF(ISNUMBER($U153),$U153*$J153*Assumptions!$B$4,"NA")</f>
        <v/>
      </c>
      <c r="Y153" s="9">
        <f>IF(ISNUMBER($V153),$V153*$J153*Assumptions!$B$4,"NA")</f>
        <v/>
      </c>
    </row>
    <row r="154">
      <c r="A154" s="5" t="inlineStr">
        <is>
          <t>Austin Engineering</t>
        </is>
      </c>
      <c r="B154" s="11" t="inlineStr">
        <is>
          <t>Dump bodies/truck trays</t>
        </is>
      </c>
      <c r="C154" s="5" t="inlineStr">
        <is>
          <t>Newmont Mexico Minera Penasquito</t>
        </is>
      </c>
      <c r="D154" s="5" t="inlineStr">
        <is>
          <t>Owner</t>
        </is>
      </c>
      <c r="E154" s="5" t="inlineStr">
        <is>
          <t>Mexico</t>
        </is>
      </c>
      <c r="F154" s="5" t="n">
        <v>2024</v>
      </c>
      <c r="G154" s="5" t="n">
        <v>4</v>
      </c>
      <c r="H154" s="7" t="n">
        <v>439997.5</v>
      </c>
      <c r="I154" s="5" t="inlineStr">
        <is>
          <t>USD</t>
        </is>
      </c>
      <c r="J154" s="8">
        <f>IF($I154="AUD",Assumptions!$B$2,Assumptions!$B$3)</f>
        <v/>
      </c>
      <c r="K154" s="9">
        <f>$G154*$H154*$J154</f>
        <v/>
      </c>
      <c r="L154" s="9">
        <f>$K154*Assumptions!$B$4</f>
        <v/>
      </c>
      <c r="M154" s="9">
        <f>RawTx[[#This Row],[Value USD]]/RawTx[[#This Row],[Quantity]]</f>
        <v/>
      </c>
      <c r="N154" s="9">
        <f>RawTx[[#This Row],[Value IDR]]/RawTx[[#This Row],[Quantity]]</f>
        <v/>
      </c>
      <c r="O154" s="4" t="inlineStr">
        <is>
          <t>AUSTIN 930E-4 LW ULTIMA TRUCK BEDS AND COMPONENT : BODY LIFTING PLATE,</t>
        </is>
      </c>
      <c r="P154" s="5" t="inlineStr">
        <is>
          <t>Komatsu</t>
        </is>
      </c>
      <c r="Q154" s="13" t="inlineStr">
        <is>
          <t>930E-4</t>
        </is>
      </c>
      <c r="R154" s="7" t="n">
        <v>132487</v>
      </c>
      <c r="S154" s="7">
        <f>IFERROR($R154/$G154,"")</f>
        <v/>
      </c>
      <c r="T154" s="7" t="n">
        <v>98031.3</v>
      </c>
      <c r="U154" s="7" t="n">
        <v>4180.54</v>
      </c>
      <c r="V154" s="7" t="n">
        <v>1759990</v>
      </c>
      <c r="W154" s="9">
        <f>IF(ISNUMBER($T154),$T154*$J154*Assumptions!$B$4,"NA")</f>
        <v/>
      </c>
      <c r="X154" s="9">
        <f>IF(ISNUMBER($U154),$U154*$J154*Assumptions!$B$4,"NA")</f>
        <v/>
      </c>
      <c r="Y154" s="9">
        <f>IF(ISNUMBER($V154),$V154*$J154*Assumptions!$B$4,"NA")</f>
        <v/>
      </c>
    </row>
    <row r="155">
      <c r="A155" s="5" t="inlineStr">
        <is>
          <t>Austin Engineering</t>
        </is>
      </c>
      <c r="B155" s="5" t="inlineStr">
        <is>
          <t>Underground bodies</t>
        </is>
      </c>
      <c r="C155" s="5" t="inlineStr">
        <is>
          <t>Austin Engineering Limited</t>
        </is>
      </c>
      <c r="D155" s="11" t="inlineStr">
        <is>
          <t>Parent/Affiliate</t>
        </is>
      </c>
      <c r="E155" s="5" t="inlineStr">
        <is>
          <t>Australia</t>
        </is>
      </c>
      <c r="F155" s="5" t="n">
        <v>2024</v>
      </c>
      <c r="G155" s="5" t="n">
        <v>2</v>
      </c>
      <c r="H155" s="7" t="n">
        <v>101470</v>
      </c>
      <c r="I155" s="5" t="inlineStr">
        <is>
          <t>AUD</t>
        </is>
      </c>
      <c r="J155" s="8">
        <f>IF($I155="AUD",Assumptions!$B$2,Assumptions!$B$3)</f>
        <v/>
      </c>
      <c r="K155" s="9">
        <f>$G155*$H155*$J155</f>
        <v/>
      </c>
      <c r="L155" s="9">
        <f>$K155*Assumptions!$B$4</f>
        <v/>
      </c>
      <c r="M155" s="9">
        <f>RawTx[[#This Row],[Value USD]]/RawTx[[#This Row],[Quantity]]</f>
        <v/>
      </c>
      <c r="N155" s="9">
        <f>RawTx[[#This Row],[Value IDR]]/RawTx[[#This Row],[Quantity]]</f>
        <v/>
      </c>
      <c r="O155" s="4" t="inlineStr">
        <is>
          <t>EPIROC MT65 JEC UNDERGROUND BODY</t>
        </is>
      </c>
      <c r="P155" s="5" t="inlineStr">
        <is>
          <t>Epiroc</t>
        </is>
      </c>
      <c r="Q155" s="13" t="inlineStr">
        <is>
          <t>MT65</t>
        </is>
      </c>
      <c r="R155" s="7" t="n">
        <v>21800</v>
      </c>
      <c r="S155" s="7">
        <f>IFERROR($R155/$G155,"")</f>
        <v/>
      </c>
      <c r="T155" s="7" t="n">
        <v>6206.9</v>
      </c>
      <c r="U155" s="7" t="n">
        <v>639.53</v>
      </c>
      <c r="V155" s="7" t="n">
        <v>305759</v>
      </c>
      <c r="W155" s="9">
        <f>IF(ISNUMBER($T155),$T155*$J155*Assumptions!$B$4,"NA")</f>
        <v/>
      </c>
      <c r="X155" s="9">
        <f>IF(ISNUMBER($U155),$U155*$J155*Assumptions!$B$4,"NA")</f>
        <v/>
      </c>
      <c r="Y155" s="9">
        <f>IF(ISNUMBER($V155),$V155*$J155*Assumptions!$B$4,"NA")</f>
        <v/>
      </c>
    </row>
    <row r="156">
      <c r="A156" s="5" t="inlineStr">
        <is>
          <t>Austin Engineering</t>
        </is>
      </c>
      <c r="B156" s="11" t="inlineStr">
        <is>
          <t>Dump bodies/truck trays</t>
        </is>
      </c>
      <c r="C156" s="5" t="inlineStr">
        <is>
          <t>Austin Engineering Limited</t>
        </is>
      </c>
      <c r="D156" s="11" t="inlineStr">
        <is>
          <t>Parent/Affiliate</t>
        </is>
      </c>
      <c r="E156" s="5" t="inlineStr">
        <is>
          <t>Australia</t>
        </is>
      </c>
      <c r="F156" s="5" t="n">
        <v>2024</v>
      </c>
      <c r="G156" s="5" t="n">
        <v>2</v>
      </c>
      <c r="H156" s="7" t="n">
        <v>235700.5</v>
      </c>
      <c r="I156" s="5" t="inlineStr">
        <is>
          <t>AUD</t>
        </is>
      </c>
      <c r="J156" s="8">
        <f>IF($I156="AUD",Assumptions!$B$2,Assumptions!$B$3)</f>
        <v/>
      </c>
      <c r="K156" s="9">
        <f>$G156*$H156*$J156</f>
        <v/>
      </c>
      <c r="L156" s="9">
        <f>$K156*Assumptions!$B$4</f>
        <v/>
      </c>
      <c r="M156" s="9">
        <f>RawTx[[#This Row],[Value USD]]/RawTx[[#This Row],[Quantity]]</f>
        <v/>
      </c>
      <c r="N156" s="9">
        <f>RawTx[[#This Row],[Value IDR]]/RawTx[[#This Row],[Quantity]]</f>
        <v/>
      </c>
      <c r="O156" s="4" t="inlineStr">
        <is>
          <t>10013 HITACHI EH4000 AC3 ULTIMA ANTI CARRY BACK TRAYS</t>
        </is>
      </c>
      <c r="P156" s="5" t="inlineStr">
        <is>
          <t>Hitachi</t>
        </is>
      </c>
      <c r="Q156" s="13" t="inlineStr">
        <is>
          <t>EH4000AC-3</t>
        </is>
      </c>
      <c r="R156" s="7" t="n">
        <v>62800</v>
      </c>
      <c r="S156" s="7">
        <f>IFERROR($R156/$G156,"")</f>
        <v/>
      </c>
      <c r="T156" s="7" t="inlineStr">
        <is>
          <t>NA</t>
        </is>
      </c>
      <c r="U156" s="7" t="inlineStr">
        <is>
          <t>NA</t>
        </is>
      </c>
      <c r="V156" s="7" t="inlineStr">
        <is>
          <t>NA</t>
        </is>
      </c>
      <c r="W156" s="9">
        <f>IF(ISNUMBER($T156),$T156*$J156*Assumptions!$B$4,"NA")</f>
        <v/>
      </c>
      <c r="X156" s="9">
        <f>IF(ISNUMBER($U156),$U156*$J156*Assumptions!$B$4,"NA")</f>
        <v/>
      </c>
      <c r="Y156" s="9">
        <f>IF(ISNUMBER($V156),$V156*$J156*Assumptions!$B$4,"NA")</f>
        <v/>
      </c>
    </row>
    <row r="157">
      <c r="A157" s="5" t="inlineStr">
        <is>
          <t>Austin Engineering</t>
        </is>
      </c>
      <c r="B157" s="11" t="inlineStr">
        <is>
          <t>Dump bodies/truck trays</t>
        </is>
      </c>
      <c r="C157" s="5" t="inlineStr">
        <is>
          <t>Austin Engineering Limited</t>
        </is>
      </c>
      <c r="D157" s="11" t="inlineStr">
        <is>
          <t>Parent/Affiliate</t>
        </is>
      </c>
      <c r="E157" s="5" t="inlineStr">
        <is>
          <t>Australia</t>
        </is>
      </c>
      <c r="F157" s="5" t="n">
        <v>2024</v>
      </c>
      <c r="G157" s="5" t="n">
        <v>1</v>
      </c>
      <c r="H157" s="7" t="n">
        <v>380746</v>
      </c>
      <c r="I157" s="5" t="inlineStr">
        <is>
          <t>AUD</t>
        </is>
      </c>
      <c r="J157" s="8">
        <f>IF($I157="AUD",Assumptions!$B$2,Assumptions!$B$3)</f>
        <v/>
      </c>
      <c r="K157" s="9">
        <f>$G157*$H157*$J157</f>
        <v/>
      </c>
      <c r="L157" s="9">
        <f>$K157*Assumptions!$B$4</f>
        <v/>
      </c>
      <c r="M157" s="9">
        <f>RawTx[[#This Row],[Value USD]]/RawTx[[#This Row],[Quantity]]</f>
        <v/>
      </c>
      <c r="N157" s="9">
        <f>RawTx[[#This Row],[Value IDR]]/RawTx[[#This Row],[Quantity]]</f>
        <v/>
      </c>
      <c r="O157" s="4" t="inlineStr">
        <is>
          <t>NHL NTE-360 ULTIMA TRAY</t>
        </is>
      </c>
      <c r="P157" s="5" t="inlineStr">
        <is>
          <t>NHL</t>
        </is>
      </c>
      <c r="Q157" s="13" t="inlineStr">
        <is>
          <t>NTE-360</t>
        </is>
      </c>
      <c r="R157" s="7" t="n">
        <v>45507</v>
      </c>
      <c r="S157" s="7">
        <f>IFERROR($R157/$G157,"")</f>
        <v/>
      </c>
      <c r="T157" s="7" t="n">
        <v>44907</v>
      </c>
      <c r="U157" s="7" t="n">
        <v>4627.01</v>
      </c>
      <c r="V157" s="7" t="n">
        <v>564479</v>
      </c>
      <c r="W157" s="9">
        <f>IF(ISNUMBER($T157),$T157*$J157*Assumptions!$B$4,"NA")</f>
        <v/>
      </c>
      <c r="X157" s="9">
        <f>IF(ISNUMBER($U157),$U157*$J157*Assumptions!$B$4,"NA")</f>
        <v/>
      </c>
      <c r="Y157" s="9">
        <f>IF(ISNUMBER($V157),$V157*$J157*Assumptions!$B$4,"NA")</f>
        <v/>
      </c>
    </row>
    <row r="158">
      <c r="A158" s="5" t="inlineStr">
        <is>
          <t>Austin Engineering</t>
        </is>
      </c>
      <c r="B158" s="11" t="inlineStr">
        <is>
          <t>Dump bodies/truck trays</t>
        </is>
      </c>
      <c r="C158" s="5" t="inlineStr">
        <is>
          <t>MRL Asset Management Pty Limited</t>
        </is>
      </c>
      <c r="D158" s="5" t="inlineStr">
        <is>
          <t>Contractor</t>
        </is>
      </c>
      <c r="E158" s="5" t="inlineStr">
        <is>
          <t>Australia</t>
        </is>
      </c>
      <c r="F158" s="5" t="n">
        <v>2023</v>
      </c>
      <c r="G158" s="5" t="n">
        <v>8</v>
      </c>
      <c r="H158" s="7" t="n">
        <v>210624</v>
      </c>
      <c r="I158" s="5" t="inlineStr">
        <is>
          <t>AUD</t>
        </is>
      </c>
      <c r="J158" s="8">
        <f>IF($I158="AUD",Assumptions!$B$2,Assumptions!$B$3)</f>
        <v/>
      </c>
      <c r="K158" s="9">
        <f>$G158*$H158*$J158</f>
        <v/>
      </c>
      <c r="L158" s="9">
        <f>$K158*Assumptions!$B$4</f>
        <v/>
      </c>
      <c r="M158" s="9">
        <f>RawTx[[#This Row],[Value USD]]/RawTx[[#This Row],[Quantity]]</f>
        <v/>
      </c>
      <c r="N158" s="9">
        <f>RawTx[[#This Row],[Value IDR]]/RawTx[[#This Row],[Quantity]]</f>
        <v/>
      </c>
      <c r="O158" s="4" t="inlineStr">
        <is>
          <t>KOMATSU 830E-5 ULTIMA DUMP BODY C/W ACCESSORIES</t>
        </is>
      </c>
      <c r="P158" s="5" t="inlineStr">
        <is>
          <t>Komatsu</t>
        </is>
      </c>
      <c r="Q158" s="13" t="inlineStr">
        <is>
          <t>830E-5</t>
        </is>
      </c>
      <c r="R158" s="7" t="n">
        <v>255288</v>
      </c>
      <c r="S158" s="7">
        <f>IFERROR($R158/$G158,"")</f>
        <v/>
      </c>
      <c r="T158" s="7" t="n">
        <v>50600.6</v>
      </c>
      <c r="U158" s="7" t="n">
        <v>5213.65</v>
      </c>
      <c r="V158" s="7" t="n">
        <v>2492640</v>
      </c>
      <c r="W158" s="9">
        <f>IF(ISNUMBER($T158),$T158*$J158*Assumptions!$B$4,"NA")</f>
        <v/>
      </c>
      <c r="X158" s="9">
        <f>IF(ISNUMBER($U158),$U158*$J158*Assumptions!$B$4,"NA")</f>
        <v/>
      </c>
      <c r="Y158" s="9">
        <f>IF(ISNUMBER($V158),$V158*$J158*Assumptions!$B$4,"NA")</f>
        <v/>
      </c>
    </row>
    <row r="159">
      <c r="A159" s="5" t="inlineStr">
        <is>
          <t>Austin Engineering</t>
        </is>
      </c>
      <c r="B159" s="11" t="inlineStr">
        <is>
          <t>Dump bodies/truck trays</t>
        </is>
      </c>
      <c r="C159" s="5" t="inlineStr">
        <is>
          <t>MRL Asset Management Pty Limited</t>
        </is>
      </c>
      <c r="D159" s="5" t="inlineStr">
        <is>
          <t>Contractor</t>
        </is>
      </c>
      <c r="E159" s="5" t="inlineStr">
        <is>
          <t>Australia</t>
        </is>
      </c>
      <c r="F159" s="5" t="n">
        <v>2023</v>
      </c>
      <c r="G159" s="5" t="n">
        <v>8</v>
      </c>
      <c r="H159" s="7" t="n">
        <v>199636</v>
      </c>
      <c r="I159" s="5" t="inlineStr">
        <is>
          <t>AUD</t>
        </is>
      </c>
      <c r="J159" s="8">
        <f>IF($I159="AUD",Assumptions!$B$2,Assumptions!$B$3)</f>
        <v/>
      </c>
      <c r="K159" s="9">
        <f>$G159*$H159*$J159</f>
        <v/>
      </c>
      <c r="L159" s="9">
        <f>$K159*Assumptions!$B$4</f>
        <v/>
      </c>
      <c r="M159" s="9">
        <f>RawTx[[#This Row],[Value USD]]/RawTx[[#This Row],[Quantity]]</f>
        <v/>
      </c>
      <c r="N159" s="9">
        <f>RawTx[[#This Row],[Value IDR]]/RawTx[[#This Row],[Quantity]]</f>
        <v/>
      </c>
      <c r="O159" s="4" t="inlineStr">
        <is>
          <t>KOMATSU 830E-5 ULTIMA DUMP BODY C/W ACCESSORIES</t>
        </is>
      </c>
      <c r="P159" s="5" t="inlineStr">
        <is>
          <t>Komatsu</t>
        </is>
      </c>
      <c r="Q159" s="13" t="inlineStr">
        <is>
          <t>830E-5</t>
        </is>
      </c>
      <c r="R159" s="7" t="n">
        <v>255288</v>
      </c>
      <c r="S159" s="7">
        <f>IFERROR($R159/$G159,"")</f>
        <v/>
      </c>
      <c r="T159" s="7" t="n">
        <v>50600.6</v>
      </c>
      <c r="U159" s="7" t="n">
        <v>5213.65</v>
      </c>
      <c r="V159" s="7" t="n">
        <v>2492640</v>
      </c>
      <c r="W159" s="9">
        <f>IF(ISNUMBER($T159),$T159*$J159*Assumptions!$B$4,"NA")</f>
        <v/>
      </c>
      <c r="X159" s="9">
        <f>IF(ISNUMBER($U159),$U159*$J159*Assumptions!$B$4,"NA")</f>
        <v/>
      </c>
      <c r="Y159" s="9">
        <f>IF(ISNUMBER($V159),$V159*$J159*Assumptions!$B$4,"NA")</f>
        <v/>
      </c>
    </row>
    <row r="160">
      <c r="A160" s="5" t="inlineStr">
        <is>
          <t>Austin Engineering</t>
        </is>
      </c>
      <c r="B160" s="11" t="inlineStr">
        <is>
          <t>Dump bodies/truck trays</t>
        </is>
      </c>
      <c r="C160" s="5" t="inlineStr">
        <is>
          <t>Fekola SA</t>
        </is>
      </c>
      <c r="D160" s="5" t="inlineStr">
        <is>
          <t>Owner</t>
        </is>
      </c>
      <c r="E160" s="5" t="inlineStr">
        <is>
          <t>Mali</t>
        </is>
      </c>
      <c r="F160" s="5" t="n">
        <v>2023</v>
      </c>
      <c r="G160" s="5" t="n">
        <v>2</v>
      </c>
      <c r="H160" s="7" t="n">
        <v>160320</v>
      </c>
      <c r="I160" s="5" t="inlineStr">
        <is>
          <t>USD</t>
        </is>
      </c>
      <c r="J160" s="8">
        <f>IF($I160="AUD",Assumptions!$B$2,Assumptions!$B$3)</f>
        <v/>
      </c>
      <c r="K160" s="9">
        <f>$G160*$H160*$J160</f>
        <v/>
      </c>
      <c r="L160" s="9">
        <f>$K160*Assumptions!$B$4</f>
        <v/>
      </c>
      <c r="M160" s="9">
        <f>RawTx[[#This Row],[Value USD]]/RawTx[[#This Row],[Quantity]]</f>
        <v/>
      </c>
      <c r="N160" s="9">
        <f>RawTx[[#This Row],[Value IDR]]/RawTx[[#This Row],[Quantity]]</f>
        <v/>
      </c>
      <c r="O160" s="4" t="inlineStr">
        <is>
          <t>CATERPILLAR 777E TRUCK BODY + LINER KIT OM 1/3 COVERAGE</t>
        </is>
      </c>
      <c r="P160" s="5" t="inlineStr">
        <is>
          <t>Caterpillar</t>
        </is>
      </c>
      <c r="Q160" s="13" t="inlineStr">
        <is>
          <t>777E</t>
        </is>
      </c>
      <c r="R160" s="7" t="n">
        <v>33516</v>
      </c>
      <c r="S160" s="7">
        <f>IFERROR($R160/$G160,"")</f>
        <v/>
      </c>
      <c r="T160" s="7" t="n">
        <v>12985.9</v>
      </c>
      <c r="U160" s="7" t="n">
        <v>717.29</v>
      </c>
      <c r="V160" s="7" t="n">
        <v>320639</v>
      </c>
      <c r="W160" s="9">
        <f>IF(ISNUMBER($T160),$T160*$J160*Assumptions!$B$4,"NA")</f>
        <v/>
      </c>
      <c r="X160" s="9">
        <f>IF(ISNUMBER($U160),$U160*$J160*Assumptions!$B$4,"NA")</f>
        <v/>
      </c>
      <c r="Y160" s="9">
        <f>IF(ISNUMBER($V160),$V160*$J160*Assumptions!$B$4,"NA")</f>
        <v/>
      </c>
    </row>
    <row r="161">
      <c r="A161" s="5" t="inlineStr">
        <is>
          <t>Austin Engineering</t>
        </is>
      </c>
      <c r="B161" s="11" t="inlineStr">
        <is>
          <t>Dump bodies/truck trays</t>
        </is>
      </c>
      <c r="C161" s="5" t="inlineStr">
        <is>
          <t>Gounkoto SA</t>
        </is>
      </c>
      <c r="D161" s="5" t="inlineStr">
        <is>
          <t>Owner</t>
        </is>
      </c>
      <c r="E161" s="5" t="inlineStr">
        <is>
          <t>Mali</t>
        </is>
      </c>
      <c r="F161" s="5" t="n">
        <v>2023</v>
      </c>
      <c r="G161" s="5" t="n">
        <v>9</v>
      </c>
      <c r="H161" s="7" t="n">
        <v>119206</v>
      </c>
      <c r="I161" s="5" t="inlineStr">
        <is>
          <t>USD</t>
        </is>
      </c>
      <c r="J161" s="8">
        <f>IF($I161="AUD",Assumptions!$B$2,Assumptions!$B$3)</f>
        <v/>
      </c>
      <c r="K161" s="9">
        <f>$G161*$H161*$J161</f>
        <v/>
      </c>
      <c r="L161" s="9">
        <f>$K161*Assumptions!$B$4</f>
        <v/>
      </c>
      <c r="M161" s="9">
        <f>RawTx[[#This Row],[Value USD]]/RawTx[[#This Row],[Quantity]]</f>
        <v/>
      </c>
      <c r="N161" s="9">
        <f>RawTx[[#This Row],[Value IDR]]/RawTx[[#This Row],[Quantity]]</f>
        <v/>
      </c>
      <c r="O161" s="4" t="inlineStr">
        <is>
          <t>KOMATSU HD785-7 ULTIMA TRUCK BODY</t>
        </is>
      </c>
      <c r="P161" s="5" t="inlineStr">
        <is>
          <t>Komatsu</t>
        </is>
      </c>
      <c r="Q161" s="13" t="inlineStr">
        <is>
          <t>HD785-7</t>
        </is>
      </c>
      <c r="R161" s="7" t="n">
        <v>132588</v>
      </c>
      <c r="S161" s="7">
        <f>IFERROR($R161/$G161,"")</f>
        <v/>
      </c>
      <c r="T161" s="7" t="n">
        <v>43450.6</v>
      </c>
      <c r="U161" s="7" t="n">
        <v>2400.05</v>
      </c>
      <c r="V161" s="7" t="n">
        <v>1072850</v>
      </c>
      <c r="W161" s="9">
        <f>IF(ISNUMBER($T161),$T161*$J161*Assumptions!$B$4,"NA")</f>
        <v/>
      </c>
      <c r="X161" s="9">
        <f>IF(ISNUMBER($U161),$U161*$J161*Assumptions!$B$4,"NA")</f>
        <v/>
      </c>
      <c r="Y161" s="9">
        <f>IF(ISNUMBER($V161),$V161*$J161*Assumptions!$B$4,"NA")</f>
        <v/>
      </c>
    </row>
    <row r="162">
      <c r="A162" s="5" t="inlineStr">
        <is>
          <t>Austin Engineering</t>
        </is>
      </c>
      <c r="B162" s="11" t="inlineStr">
        <is>
          <t>Dump bodies/truck trays</t>
        </is>
      </c>
      <c r="C162" s="5" t="inlineStr">
        <is>
          <t>Gounkoto SA</t>
        </is>
      </c>
      <c r="D162" s="5" t="inlineStr">
        <is>
          <t>Owner</t>
        </is>
      </c>
      <c r="E162" s="5" t="inlineStr">
        <is>
          <t>Mali</t>
        </is>
      </c>
      <c r="F162" s="5" t="n">
        <v>2023</v>
      </c>
      <c r="G162" s="5" t="n">
        <v>2</v>
      </c>
      <c r="H162" s="7" t="n">
        <v>119206</v>
      </c>
      <c r="I162" s="5" t="inlineStr">
        <is>
          <t>USD</t>
        </is>
      </c>
      <c r="J162" s="8">
        <f>IF($I162="AUD",Assumptions!$B$2,Assumptions!$B$3)</f>
        <v/>
      </c>
      <c r="K162" s="9">
        <f>$G162*$H162*$J162</f>
        <v/>
      </c>
      <c r="L162" s="9">
        <f>$K162*Assumptions!$B$4</f>
        <v/>
      </c>
      <c r="M162" s="9">
        <f>RawTx[[#This Row],[Value USD]]/RawTx[[#This Row],[Quantity]]</f>
        <v/>
      </c>
      <c r="N162" s="9">
        <f>RawTx[[#This Row],[Value IDR]]/RawTx[[#This Row],[Quantity]]</f>
        <v/>
      </c>
      <c r="O162" s="4" t="inlineStr">
        <is>
          <t>KOMATSU HD785-7 ULTIMA TRUCK BODY</t>
        </is>
      </c>
      <c r="P162" s="5" t="inlineStr">
        <is>
          <t>Komatsu</t>
        </is>
      </c>
      <c r="Q162" s="13" t="inlineStr">
        <is>
          <t>HD785-7</t>
        </is>
      </c>
      <c r="R162" s="7" t="n">
        <v>29464</v>
      </c>
      <c r="S162" s="7">
        <f>IFERROR($R162/$G162,"")</f>
        <v/>
      </c>
      <c r="T162" s="7" t="n">
        <v>9655.690000000001</v>
      </c>
      <c r="U162" s="7" t="n">
        <v>533.35</v>
      </c>
      <c r="V162" s="7" t="n">
        <v>238412</v>
      </c>
      <c r="W162" s="9">
        <f>IF(ISNUMBER($T162),$T162*$J162*Assumptions!$B$4,"NA")</f>
        <v/>
      </c>
      <c r="X162" s="9">
        <f>IF(ISNUMBER($U162),$U162*$J162*Assumptions!$B$4,"NA")</f>
        <v/>
      </c>
      <c r="Y162" s="9">
        <f>IF(ISNUMBER($V162),$V162*$J162*Assumptions!$B$4,"NA")</f>
        <v/>
      </c>
    </row>
    <row r="163">
      <c r="A163" s="5" t="inlineStr">
        <is>
          <t>Austin Engineering</t>
        </is>
      </c>
      <c r="B163" s="11" t="inlineStr">
        <is>
          <t>Dump bodies/truck trays</t>
        </is>
      </c>
      <c r="C163" s="5" t="inlineStr">
        <is>
          <t>Gounkoto SA</t>
        </is>
      </c>
      <c r="D163" s="5" t="inlineStr">
        <is>
          <t>Owner</t>
        </is>
      </c>
      <c r="E163" s="5" t="inlineStr">
        <is>
          <t>Mali</t>
        </is>
      </c>
      <c r="F163" s="5" t="n">
        <v>2023</v>
      </c>
      <c r="G163" s="5" t="n">
        <v>7</v>
      </c>
      <c r="H163" s="7" t="n">
        <v>119206</v>
      </c>
      <c r="I163" s="5" t="inlineStr">
        <is>
          <t>USD</t>
        </is>
      </c>
      <c r="J163" s="8">
        <f>IF($I163="AUD",Assumptions!$B$2,Assumptions!$B$3)</f>
        <v/>
      </c>
      <c r="K163" s="9">
        <f>$G163*$H163*$J163</f>
        <v/>
      </c>
      <c r="L163" s="9">
        <f>$K163*Assumptions!$B$4</f>
        <v/>
      </c>
      <c r="M163" s="9">
        <f>RawTx[[#This Row],[Value USD]]/RawTx[[#This Row],[Quantity]]</f>
        <v/>
      </c>
      <c r="N163" s="9">
        <f>RawTx[[#This Row],[Value IDR]]/RawTx[[#This Row],[Quantity]]</f>
        <v/>
      </c>
      <c r="O163" s="4" t="inlineStr">
        <is>
          <t>KOMATSU HD785-7 ULTIMA TRUCK BODY</t>
        </is>
      </c>
      <c r="P163" s="5" t="inlineStr">
        <is>
          <t>Komatsu</t>
        </is>
      </c>
      <c r="Q163" s="13" t="inlineStr">
        <is>
          <t>HD785-7</t>
        </is>
      </c>
      <c r="R163" s="7" t="n">
        <v>103124</v>
      </c>
      <c r="S163" s="7">
        <f>IFERROR($R163/$G163,"")</f>
        <v/>
      </c>
      <c r="T163" s="7" t="n">
        <v>33794.9</v>
      </c>
      <c r="U163" s="7" t="n">
        <v>1866.71</v>
      </c>
      <c r="V163" s="7" t="n">
        <v>834442</v>
      </c>
      <c r="W163" s="9">
        <f>IF(ISNUMBER($T163),$T163*$J163*Assumptions!$B$4,"NA")</f>
        <v/>
      </c>
      <c r="X163" s="9">
        <f>IF(ISNUMBER($U163),$U163*$J163*Assumptions!$B$4,"NA")</f>
        <v/>
      </c>
      <c r="Y163" s="9">
        <f>IF(ISNUMBER($V163),$V163*$J163*Assumptions!$B$4,"NA")</f>
        <v/>
      </c>
    </row>
    <row r="164">
      <c r="A164" s="5" t="inlineStr">
        <is>
          <t>Austin Engineering</t>
        </is>
      </c>
      <c r="B164" s="11" t="inlineStr">
        <is>
          <t>Dump bodies/truck trays</t>
        </is>
      </c>
      <c r="C164" s="5" t="inlineStr">
        <is>
          <t>Austin Engineering Limited</t>
        </is>
      </c>
      <c r="D164" s="11" t="inlineStr">
        <is>
          <t>Parent/Affiliate</t>
        </is>
      </c>
      <c r="E164" s="5" t="inlineStr">
        <is>
          <t>Australia</t>
        </is>
      </c>
      <c r="F164" s="5" t="n">
        <v>2023</v>
      </c>
      <c r="G164" s="5" t="n">
        <v>4</v>
      </c>
      <c r="H164" s="7" t="n">
        <v>208557</v>
      </c>
      <c r="I164" s="5" t="inlineStr">
        <is>
          <t>AUD</t>
        </is>
      </c>
      <c r="J164" s="8">
        <f>IF($I164="AUD",Assumptions!$B$2,Assumptions!$B$3)</f>
        <v/>
      </c>
      <c r="K164" s="9">
        <f>$G164*$H164*$J164</f>
        <v/>
      </c>
      <c r="L164" s="9">
        <f>$K164*Assumptions!$B$4</f>
        <v/>
      </c>
      <c r="M164" s="9">
        <f>RawTx[[#This Row],[Value USD]]/RawTx[[#This Row],[Quantity]]</f>
        <v/>
      </c>
      <c r="N164" s="9">
        <f>RawTx[[#This Row],[Value IDR]]/RawTx[[#This Row],[Quantity]]</f>
        <v/>
      </c>
      <c r="O164" s="4" t="inlineStr">
        <is>
          <t>KOMATSU 930E HPT MAX MAX STD PO REFERENCE : 3014245363, 3014245589 ,301</t>
        </is>
      </c>
      <c r="P164" s="5" t="inlineStr">
        <is>
          <t>Komatsu</t>
        </is>
      </c>
      <c r="Q164" s="13" t="inlineStr">
        <is>
          <t>930E</t>
        </is>
      </c>
      <c r="R164" s="7" t="n">
        <v>117904</v>
      </c>
      <c r="S164" s="7">
        <f>IFERROR($R164/$G164,"")</f>
        <v/>
      </c>
      <c r="T164" s="7" t="n">
        <v>26415.6</v>
      </c>
      <c r="U164" s="7" t="n">
        <v>2721.74</v>
      </c>
      <c r="V164" s="7" t="n">
        <v>1301260</v>
      </c>
      <c r="W164" s="9">
        <f>IF(ISNUMBER($T164),$T164*$J164*Assumptions!$B$4,"NA")</f>
        <v/>
      </c>
      <c r="X164" s="9">
        <f>IF(ISNUMBER($U164),$U164*$J164*Assumptions!$B$4,"NA")</f>
        <v/>
      </c>
      <c r="Y164" s="9">
        <f>IF(ISNUMBER($V164),$V164*$J164*Assumptions!$B$4,"NA")</f>
        <v/>
      </c>
    </row>
    <row r="165">
      <c r="A165" s="5" t="inlineStr">
        <is>
          <t>Austin Engineering</t>
        </is>
      </c>
      <c r="B165" s="11" t="inlineStr">
        <is>
          <t>Dump bodies/truck trays</t>
        </is>
      </c>
      <c r="C165" s="5" t="inlineStr">
        <is>
          <t>Austin Engineering Limited</t>
        </is>
      </c>
      <c r="D165" s="11" t="inlineStr">
        <is>
          <t>Parent/Affiliate</t>
        </is>
      </c>
      <c r="E165" s="5" t="inlineStr">
        <is>
          <t>Australia</t>
        </is>
      </c>
      <c r="F165" s="5" t="n">
        <v>2023</v>
      </c>
      <c r="G165" s="5" t="n">
        <v>7</v>
      </c>
      <c r="H165" s="7" t="n">
        <v>114352</v>
      </c>
      <c r="I165" s="5" t="inlineStr">
        <is>
          <t>AUD</t>
        </is>
      </c>
      <c r="J165" s="8">
        <f>IF($I165="AUD",Assumptions!$B$2,Assumptions!$B$3)</f>
        <v/>
      </c>
      <c r="K165" s="9">
        <f>$G165*$H165*$J165</f>
        <v/>
      </c>
      <c r="L165" s="9">
        <f>$K165*Assumptions!$B$4</f>
        <v/>
      </c>
      <c r="M165" s="9">
        <f>RawTx[[#This Row],[Value USD]]/RawTx[[#This Row],[Quantity]]</f>
        <v/>
      </c>
      <c r="N165" s="9">
        <f>RawTx[[#This Row],[Value IDR]]/RawTx[[#This Row],[Quantity]]</f>
        <v/>
      </c>
      <c r="O165" s="4" t="inlineStr">
        <is>
          <t>KOMATSU 830E HPT MAX STD .PO REFERENCE : 3014164920, 3014164926, 30141649</t>
        </is>
      </c>
      <c r="P165" s="5" t="inlineStr">
        <is>
          <t>Komatsu</t>
        </is>
      </c>
      <c r="Q165" s="13" t="inlineStr">
        <is>
          <t>830E</t>
        </is>
      </c>
      <c r="R165" s="7" t="n">
        <v>182623</v>
      </c>
      <c r="S165" s="7">
        <f>IFERROR($R165/$G165,"")</f>
        <v/>
      </c>
      <c r="T165" s="7" t="inlineStr">
        <is>
          <t>NA</t>
        </is>
      </c>
      <c r="U165" s="7" t="inlineStr">
        <is>
          <t>NA</t>
        </is>
      </c>
      <c r="V165" s="7" t="inlineStr">
        <is>
          <t>NA</t>
        </is>
      </c>
      <c r="W165" s="9">
        <f>IF(ISNUMBER($T165),$T165*$J165*Assumptions!$B$4,"NA")</f>
        <v/>
      </c>
      <c r="X165" s="9">
        <f>IF(ISNUMBER($U165),$U165*$J165*Assumptions!$B$4,"NA")</f>
        <v/>
      </c>
      <c r="Y165" s="9">
        <f>IF(ISNUMBER($V165),$V165*$J165*Assumptions!$B$4,"NA")</f>
        <v/>
      </c>
    </row>
    <row r="166">
      <c r="A166" s="5" t="inlineStr">
        <is>
          <t>Austin Engineering</t>
        </is>
      </c>
      <c r="B166" s="11" t="inlineStr">
        <is>
          <t>Dump bodies/truck trays</t>
        </is>
      </c>
      <c r="C166" s="5" t="inlineStr">
        <is>
          <t>Austin Engineering Limited</t>
        </is>
      </c>
      <c r="D166" s="11" t="inlineStr">
        <is>
          <t>Parent/Affiliate</t>
        </is>
      </c>
      <c r="E166" s="5" t="inlineStr">
        <is>
          <t>Australia</t>
        </is>
      </c>
      <c r="F166" s="5" t="n">
        <v>2023</v>
      </c>
      <c r="G166" s="5" t="n">
        <v>3</v>
      </c>
      <c r="H166" s="7" t="n">
        <v>296368</v>
      </c>
      <c r="I166" s="5" t="inlineStr">
        <is>
          <t>AUD</t>
        </is>
      </c>
      <c r="J166" s="8">
        <f>IF($I166="AUD",Assumptions!$B$2,Assumptions!$B$3)</f>
        <v/>
      </c>
      <c r="K166" s="9">
        <f>$G166*$H166*$J166</f>
        <v/>
      </c>
      <c r="L166" s="9">
        <f>$K166*Assumptions!$B$4</f>
        <v/>
      </c>
      <c r="M166" s="9">
        <f>RawTx[[#This Row],[Value USD]]/RawTx[[#This Row],[Quantity]]</f>
        <v/>
      </c>
      <c r="N166" s="9">
        <f>RawTx[[#This Row],[Value IDR]]/RawTx[[#This Row],[Quantity]]</f>
        <v/>
      </c>
      <c r="O166" s="4" t="inlineStr">
        <is>
          <t>KOMATSU 830E-AC JEC</t>
        </is>
      </c>
      <c r="P166" s="5" t="inlineStr">
        <is>
          <t>Komatsu</t>
        </is>
      </c>
      <c r="Q166" s="13" t="inlineStr">
        <is>
          <t>830E-AC</t>
        </is>
      </c>
      <c r="R166" s="7" t="n">
        <v>99420</v>
      </c>
      <c r="S166" s="7">
        <f>IFERROR($R166/$G166,"")</f>
        <v/>
      </c>
      <c r="T166" s="7" t="n">
        <v>38197.7</v>
      </c>
      <c r="U166" s="7" t="n">
        <v>3935.71</v>
      </c>
      <c r="V166" s="7" t="n">
        <v>1387090</v>
      </c>
      <c r="W166" s="9">
        <f>IF(ISNUMBER($T166),$T166*$J166*Assumptions!$B$4,"NA")</f>
        <v/>
      </c>
      <c r="X166" s="9">
        <f>IF(ISNUMBER($U166),$U166*$J166*Assumptions!$B$4,"NA")</f>
        <v/>
      </c>
      <c r="Y166" s="9">
        <f>IF(ISNUMBER($V166),$V166*$J166*Assumptions!$B$4,"NA")</f>
        <v/>
      </c>
    </row>
    <row r="167">
      <c r="A167" s="5" t="inlineStr">
        <is>
          <t>Austin Engineering</t>
        </is>
      </c>
      <c r="B167" s="11" t="inlineStr">
        <is>
          <t>Dump bodies/truck trays</t>
        </is>
      </c>
      <c r="C167" s="5" t="inlineStr">
        <is>
          <t>Austin Engineering Limited</t>
        </is>
      </c>
      <c r="D167" s="11" t="inlineStr">
        <is>
          <t>Parent/Affiliate</t>
        </is>
      </c>
      <c r="E167" s="5" t="inlineStr">
        <is>
          <t>Australia</t>
        </is>
      </c>
      <c r="F167" s="5" t="n">
        <v>2023</v>
      </c>
      <c r="G167" s="5" t="n">
        <v>1</v>
      </c>
      <c r="H167" s="7" t="n">
        <v>317017</v>
      </c>
      <c r="I167" s="5" t="inlineStr">
        <is>
          <t>AUD</t>
        </is>
      </c>
      <c r="J167" s="8">
        <f>IF($I167="AUD",Assumptions!$B$2,Assumptions!$B$3)</f>
        <v/>
      </c>
      <c r="K167" s="9">
        <f>$G167*$H167*$J167</f>
        <v/>
      </c>
      <c r="L167" s="9">
        <f>$K167*Assumptions!$B$4</f>
        <v/>
      </c>
      <c r="M167" s="9">
        <f>RawTx[[#This Row],[Value USD]]/RawTx[[#This Row],[Quantity]]</f>
        <v/>
      </c>
      <c r="N167" s="9">
        <f>RawTx[[#This Row],[Value IDR]]/RawTx[[#This Row],[Quantity]]</f>
        <v/>
      </c>
      <c r="O167" s="4" t="inlineStr">
        <is>
          <t>KOMATSU 930E-4SE ULTIMA</t>
        </is>
      </c>
      <c r="P167" s="5" t="inlineStr">
        <is>
          <t>Komatsu</t>
        </is>
      </c>
      <c r="Q167" s="13" t="inlineStr">
        <is>
          <t>930E-4</t>
        </is>
      </c>
      <c r="R167" s="7" t="n">
        <v>70912</v>
      </c>
      <c r="S167" s="7">
        <f>IFERROR($R167/$G167,"")</f>
        <v/>
      </c>
      <c r="T167" s="7" t="n">
        <v>38197.7</v>
      </c>
      <c r="U167" s="7" t="n">
        <v>3935.71</v>
      </c>
      <c r="V167" s="7" t="n">
        <v>494576</v>
      </c>
      <c r="W167" s="9">
        <f>IF(ISNUMBER($T167),$T167*$J167*Assumptions!$B$4,"NA")</f>
        <v/>
      </c>
      <c r="X167" s="9">
        <f>IF(ISNUMBER($U167),$U167*$J167*Assumptions!$B$4,"NA")</f>
        <v/>
      </c>
      <c r="Y167" s="9">
        <f>IF(ISNUMBER($V167),$V167*$J167*Assumptions!$B$4,"NA")</f>
        <v/>
      </c>
    </row>
    <row r="168">
      <c r="A168" s="5" t="inlineStr">
        <is>
          <t>Austin Engineering</t>
        </is>
      </c>
      <c r="B168" s="11" t="inlineStr">
        <is>
          <t>Dump bodies/truck trays</t>
        </is>
      </c>
      <c r="C168" s="5" t="inlineStr">
        <is>
          <t>Austin Engineering Limited</t>
        </is>
      </c>
      <c r="D168" s="11" t="inlineStr">
        <is>
          <t>Parent/Affiliate</t>
        </is>
      </c>
      <c r="E168" s="5" t="inlineStr">
        <is>
          <t>Australia</t>
        </is>
      </c>
      <c r="F168" s="5" t="n">
        <v>2023</v>
      </c>
      <c r="G168" s="5" t="n">
        <v>6</v>
      </c>
      <c r="H168" s="7" t="n">
        <v>204600</v>
      </c>
      <c r="I168" s="5" t="inlineStr">
        <is>
          <t>AUD</t>
        </is>
      </c>
      <c r="J168" s="8">
        <f>IF($I168="AUD",Assumptions!$B$2,Assumptions!$B$3)</f>
        <v/>
      </c>
      <c r="K168" s="9">
        <f>$G168*$H168*$J168</f>
        <v/>
      </c>
      <c r="L168" s="9">
        <f>$K168*Assumptions!$B$4</f>
        <v/>
      </c>
      <c r="M168" s="9">
        <f>RawTx[[#This Row],[Value USD]]/RawTx[[#This Row],[Quantity]]</f>
        <v/>
      </c>
      <c r="N168" s="9">
        <f>RawTx[[#This Row],[Value IDR]]/RawTx[[#This Row],[Quantity]]</f>
        <v/>
      </c>
      <c r="O168" s="4" t="inlineStr">
        <is>
          <t>KOMATSU HPT HD830-5 C/W ACCESSORIES PO REFERENCE:3014295183,3014295204</t>
        </is>
      </c>
      <c r="P168" s="5" t="inlineStr">
        <is>
          <t>Komatsu</t>
        </is>
      </c>
      <c r="Q168" s="13" t="inlineStr">
        <is>
          <t>HD830-5</t>
        </is>
      </c>
      <c r="R168" s="7" t="n">
        <v>199314</v>
      </c>
      <c r="S168" s="7">
        <f>IFERROR($R168/$G168,"")</f>
        <v/>
      </c>
      <c r="T168" s="7" t="n">
        <v>79706.10000000001</v>
      </c>
      <c r="U168" s="7" t="n">
        <v>8212.530000000001</v>
      </c>
      <c r="V168" s="7" t="n">
        <v>1933490</v>
      </c>
      <c r="W168" s="9">
        <f>IF(ISNUMBER($T168),$T168*$J168*Assumptions!$B$4,"NA")</f>
        <v/>
      </c>
      <c r="X168" s="9">
        <f>IF(ISNUMBER($U168),$U168*$J168*Assumptions!$B$4,"NA")</f>
        <v/>
      </c>
      <c r="Y168" s="9">
        <f>IF(ISNUMBER($V168),$V168*$J168*Assumptions!$B$4,"NA")</f>
        <v/>
      </c>
    </row>
    <row r="169">
      <c r="A169" s="5" t="inlineStr">
        <is>
          <t>Austin Engineering</t>
        </is>
      </c>
      <c r="B169" s="11" t="inlineStr">
        <is>
          <t>Dump bodies/truck trays</t>
        </is>
      </c>
      <c r="C169" s="5" t="inlineStr">
        <is>
          <t>Austin Engineering Limited</t>
        </is>
      </c>
      <c r="D169" s="11" t="inlineStr">
        <is>
          <t>Parent/Affiliate</t>
        </is>
      </c>
      <c r="E169" s="5" t="inlineStr">
        <is>
          <t>Australia</t>
        </is>
      </c>
      <c r="F169" s="5" t="n">
        <v>2023</v>
      </c>
      <c r="G169" s="5" t="n">
        <v>6</v>
      </c>
      <c r="H169" s="7" t="n">
        <v>210888</v>
      </c>
      <c r="I169" s="5" t="inlineStr">
        <is>
          <t>AUD</t>
        </is>
      </c>
      <c r="J169" s="8">
        <f>IF($I169="AUD",Assumptions!$B$2,Assumptions!$B$3)</f>
        <v/>
      </c>
      <c r="K169" s="9">
        <f>$G169*$H169*$J169</f>
        <v/>
      </c>
      <c r="L169" s="9">
        <f>$K169*Assumptions!$B$4</f>
        <v/>
      </c>
      <c r="M169" s="9">
        <f>RawTx[[#This Row],[Value USD]]/RawTx[[#This Row],[Quantity]]</f>
        <v/>
      </c>
      <c r="N169" s="9">
        <f>RawTx[[#This Row],[Value IDR]]/RawTx[[#This Row],[Quantity]]</f>
        <v/>
      </c>
      <c r="O169" s="4" t="inlineStr">
        <is>
          <t>KOMATSU 830E HPT MAX HD BODY C/W ACCESSORIES PO REFERENCE:3014092426</t>
        </is>
      </c>
      <c r="P169" s="5" t="inlineStr">
        <is>
          <t>Komatsu</t>
        </is>
      </c>
      <c r="Q169" s="13" t="inlineStr">
        <is>
          <t>830E</t>
        </is>
      </c>
      <c r="R169" s="7" t="n">
        <v>166266</v>
      </c>
      <c r="S169" s="7">
        <f>IFERROR($R169/$G169,"")</f>
        <v/>
      </c>
      <c r="T169" s="7" t="n">
        <v>79706.10000000001</v>
      </c>
      <c r="U169" s="7" t="n">
        <v>8212.530000000001</v>
      </c>
      <c r="V169" s="7" t="n">
        <v>1992920</v>
      </c>
      <c r="W169" s="9">
        <f>IF(ISNUMBER($T169),$T169*$J169*Assumptions!$B$4,"NA")</f>
        <v/>
      </c>
      <c r="X169" s="9">
        <f>IF(ISNUMBER($U169),$U169*$J169*Assumptions!$B$4,"NA")</f>
        <v/>
      </c>
      <c r="Y169" s="9">
        <f>IF(ISNUMBER($V169),$V169*$J169*Assumptions!$B$4,"NA")</f>
        <v/>
      </c>
    </row>
    <row r="170">
      <c r="A170" s="5" t="inlineStr">
        <is>
          <t>Austin Engineering</t>
        </is>
      </c>
      <c r="B170" s="11" t="inlineStr">
        <is>
          <t>Dump bodies/truck trays</t>
        </is>
      </c>
      <c r="C170" s="5" t="inlineStr">
        <is>
          <t>Austin Engineering Limited</t>
        </is>
      </c>
      <c r="D170" s="11" t="inlineStr">
        <is>
          <t>Parent/Affiliate</t>
        </is>
      </c>
      <c r="E170" s="5" t="inlineStr">
        <is>
          <t>Australia</t>
        </is>
      </c>
      <c r="F170" s="5" t="n">
        <v>2023</v>
      </c>
      <c r="G170" s="5" t="n">
        <v>3</v>
      </c>
      <c r="H170" s="7" t="n">
        <v>199950</v>
      </c>
      <c r="I170" s="5" t="inlineStr">
        <is>
          <t>AUD</t>
        </is>
      </c>
      <c r="J170" s="8">
        <f>IF($I170="AUD",Assumptions!$B$2,Assumptions!$B$3)</f>
        <v/>
      </c>
      <c r="K170" s="9">
        <f>$G170*$H170*$J170</f>
        <v/>
      </c>
      <c r="L170" s="9">
        <f>$K170*Assumptions!$B$4</f>
        <v/>
      </c>
      <c r="M170" s="9">
        <f>RawTx[[#This Row],[Value USD]]/RawTx[[#This Row],[Quantity]]</f>
        <v/>
      </c>
      <c r="N170" s="9">
        <f>RawTx[[#This Row],[Value IDR]]/RawTx[[#This Row],[Quantity]]</f>
        <v/>
      </c>
      <c r="O170" s="4" t="inlineStr">
        <is>
          <t>KOMATSU 830E HPT MAX HD PO REFERENCE :3014092419,3014092421,3014092424</t>
        </is>
      </c>
      <c r="P170" s="5" t="inlineStr">
        <is>
          <t>Komatsu</t>
        </is>
      </c>
      <c r="Q170" s="13" t="inlineStr">
        <is>
          <t>830E</t>
        </is>
      </c>
      <c r="R170" s="7" t="n">
        <v>83133</v>
      </c>
      <c r="S170" s="7">
        <f>IFERROR($R170/$G170,"")</f>
        <v/>
      </c>
      <c r="T170" s="7" t="n">
        <v>29906.8</v>
      </c>
      <c r="U170" s="7" t="n">
        <v>3081.45</v>
      </c>
      <c r="V170" s="7" t="n">
        <v>938040</v>
      </c>
      <c r="W170" s="9">
        <f>IF(ISNUMBER($T170),$T170*$J170*Assumptions!$B$4,"NA")</f>
        <v/>
      </c>
      <c r="X170" s="9">
        <f>IF(ISNUMBER($U170),$U170*$J170*Assumptions!$B$4,"NA")</f>
        <v/>
      </c>
      <c r="Y170" s="9">
        <f>IF(ISNUMBER($V170),$V170*$J170*Assumptions!$B$4,"NA")</f>
        <v/>
      </c>
    </row>
    <row r="171">
      <c r="A171" s="5" t="inlineStr">
        <is>
          <t>Austin Engineering</t>
        </is>
      </c>
      <c r="B171" s="11" t="inlineStr">
        <is>
          <t>Dump bodies/truck trays</t>
        </is>
      </c>
      <c r="C171" s="5" t="inlineStr">
        <is>
          <t>Austin Engineering Limited</t>
        </is>
      </c>
      <c r="D171" s="11" t="inlineStr">
        <is>
          <t>Parent/Affiliate</t>
        </is>
      </c>
      <c r="E171" s="5" t="inlineStr">
        <is>
          <t>Australia</t>
        </is>
      </c>
      <c r="F171" s="5" t="n">
        <v>2023</v>
      </c>
      <c r="G171" s="5" t="n">
        <v>3</v>
      </c>
      <c r="H171" s="7" t="n">
        <v>114082</v>
      </c>
      <c r="I171" s="5" t="inlineStr">
        <is>
          <t>AUD</t>
        </is>
      </c>
      <c r="J171" s="8">
        <f>IF($I171="AUD",Assumptions!$B$2,Assumptions!$B$3)</f>
        <v/>
      </c>
      <c r="K171" s="9">
        <f>$G171*$H171*$J171</f>
        <v/>
      </c>
      <c r="L171" s="9">
        <f>$K171*Assumptions!$B$4</f>
        <v/>
      </c>
      <c r="M171" s="9">
        <f>RawTx[[#This Row],[Value USD]]/RawTx[[#This Row],[Quantity]]</f>
        <v/>
      </c>
      <c r="N171" s="9">
        <f>RawTx[[#This Row],[Value IDR]]/RawTx[[#This Row],[Quantity]]</f>
        <v/>
      </c>
      <c r="O171" s="4" t="inlineStr">
        <is>
          <t>KOMATSU 830E HPT MAX STD PO REFERENCE: 3014164916,3014164918,3014164919</t>
        </is>
      </c>
      <c r="P171" s="5" t="inlineStr">
        <is>
          <t>Komatsu</t>
        </is>
      </c>
      <c r="Q171" s="13" t="inlineStr">
        <is>
          <t>830E</t>
        </is>
      </c>
      <c r="R171" s="7" t="n">
        <v>78267</v>
      </c>
      <c r="S171" s="7">
        <f>IFERROR($R171/$G171,"")</f>
        <v/>
      </c>
      <c r="T171" s="7" t="n">
        <v>29906.8</v>
      </c>
      <c r="U171" s="7" t="n">
        <v>3081.45</v>
      </c>
      <c r="V171" s="7" t="n">
        <v>535200</v>
      </c>
      <c r="W171" s="9">
        <f>IF(ISNUMBER($T171),$T171*$J171*Assumptions!$B$4,"NA")</f>
        <v/>
      </c>
      <c r="X171" s="9">
        <f>IF(ISNUMBER($U171),$U171*$J171*Assumptions!$B$4,"NA")</f>
        <v/>
      </c>
      <c r="Y171" s="9">
        <f>IF(ISNUMBER($V171),$V171*$J171*Assumptions!$B$4,"NA")</f>
        <v/>
      </c>
    </row>
    <row r="172">
      <c r="A172" s="5" t="inlineStr">
        <is>
          <t>Austin Engineering</t>
        </is>
      </c>
      <c r="B172" s="11" t="inlineStr">
        <is>
          <t>Dump bodies/truck trays</t>
        </is>
      </c>
      <c r="C172" s="5" t="inlineStr">
        <is>
          <t>Austin Engineering Limited</t>
        </is>
      </c>
      <c r="D172" s="11" t="inlineStr">
        <is>
          <t>Parent/Affiliate</t>
        </is>
      </c>
      <c r="E172" s="5" t="inlineStr">
        <is>
          <t>Australia</t>
        </is>
      </c>
      <c r="F172" s="5" t="n">
        <v>2023</v>
      </c>
      <c r="G172" s="5" t="n">
        <v>7</v>
      </c>
      <c r="H172" s="7" t="n">
        <v>288410</v>
      </c>
      <c r="I172" s="5" t="inlineStr">
        <is>
          <t>AUD</t>
        </is>
      </c>
      <c r="J172" s="8">
        <f>IF($I172="AUD",Assumptions!$B$2,Assumptions!$B$3)</f>
        <v/>
      </c>
      <c r="K172" s="9">
        <f>$G172*$H172*$J172</f>
        <v/>
      </c>
      <c r="L172" s="9">
        <f>$K172*Assumptions!$B$4</f>
        <v/>
      </c>
      <c r="M172" s="9">
        <f>RawTx[[#This Row],[Value USD]]/RawTx[[#This Row],[Quantity]]</f>
        <v/>
      </c>
      <c r="N172" s="9">
        <f>RawTx[[#This Row],[Value IDR]]/RawTx[[#This Row],[Quantity]]</f>
        <v/>
      </c>
      <c r="O172" s="4" t="inlineStr">
        <is>
          <t>KOMATSU 930-5 ULTIMA BODY TRUCK</t>
        </is>
      </c>
      <c r="P172" s="5" t="inlineStr">
        <is>
          <t>Komatsu</t>
        </is>
      </c>
      <c r="Q172" s="14" t="inlineStr">
        <is>
          <t>930-5</t>
        </is>
      </c>
      <c r="R172" s="7" t="n">
        <v>266357</v>
      </c>
      <c r="S172" s="7">
        <f>IFERROR($R172/$G172,"")</f>
        <v/>
      </c>
      <c r="T172" s="7" t="n">
        <v>63761.8</v>
      </c>
      <c r="U172" s="7" t="n">
        <v>6569.71</v>
      </c>
      <c r="V172" s="7" t="n">
        <v>3140980</v>
      </c>
      <c r="W172" s="9">
        <f>IF(ISNUMBER($T172),$T172*$J172*Assumptions!$B$4,"NA")</f>
        <v/>
      </c>
      <c r="X172" s="9">
        <f>IF(ISNUMBER($U172),$U172*$J172*Assumptions!$B$4,"NA")</f>
        <v/>
      </c>
      <c r="Y172" s="9">
        <f>IF(ISNUMBER($V172),$V172*$J172*Assumptions!$B$4,"NA")</f>
        <v/>
      </c>
    </row>
    <row r="173">
      <c r="A173" s="5" t="inlineStr">
        <is>
          <t>Austin Engineering</t>
        </is>
      </c>
      <c r="B173" s="11" t="inlineStr">
        <is>
          <t>Dump bodies/truck trays</t>
        </is>
      </c>
      <c r="C173" s="5" t="inlineStr">
        <is>
          <t>Austin Engineering Limited</t>
        </is>
      </c>
      <c r="D173" s="11" t="inlineStr">
        <is>
          <t>Parent/Affiliate</t>
        </is>
      </c>
      <c r="E173" s="5" t="inlineStr">
        <is>
          <t>Australia</t>
        </is>
      </c>
      <c r="F173" s="5" t="n">
        <v>2023</v>
      </c>
      <c r="G173" s="5" t="n">
        <v>2</v>
      </c>
      <c r="H173" s="7" t="n">
        <v>198573</v>
      </c>
      <c r="I173" s="5" t="inlineStr">
        <is>
          <t>AUD</t>
        </is>
      </c>
      <c r="J173" s="8">
        <f>IF($I173="AUD",Assumptions!$B$2,Assumptions!$B$3)</f>
        <v/>
      </c>
      <c r="K173" s="9">
        <f>$G173*$H173*$J173</f>
        <v/>
      </c>
      <c r="L173" s="9">
        <f>$K173*Assumptions!$B$4</f>
        <v/>
      </c>
      <c r="M173" s="9">
        <f>RawTx[[#This Row],[Value USD]]/RawTx[[#This Row],[Quantity]]</f>
        <v/>
      </c>
      <c r="N173" s="9">
        <f>RawTx[[#This Row],[Value IDR]]/RawTx[[#This Row],[Quantity]]</f>
        <v/>
      </c>
      <c r="O173" s="4" t="inlineStr">
        <is>
          <t>CAT 785CD JEC LD COMBO BODY TRUCK</t>
        </is>
      </c>
      <c r="P173" s="5" t="inlineStr">
        <is>
          <t>Caterpillar</t>
        </is>
      </c>
      <c r="Q173" s="13" t="inlineStr">
        <is>
          <t>785C</t>
        </is>
      </c>
      <c r="R173" s="7" t="n">
        <v>42000</v>
      </c>
      <c r="S173" s="7">
        <f>IFERROR($R173/$G173,"")</f>
        <v/>
      </c>
      <c r="T173" s="7" t="n">
        <v>12528.7</v>
      </c>
      <c r="U173" s="7" t="n">
        <v>1290.89</v>
      </c>
      <c r="V173" s="7" t="n">
        <v>617176</v>
      </c>
      <c r="W173" s="9">
        <f>IF(ISNUMBER($T173),$T173*$J173*Assumptions!$B$4,"NA")</f>
        <v/>
      </c>
      <c r="X173" s="9">
        <f>IF(ISNUMBER($U173),$U173*$J173*Assumptions!$B$4,"NA")</f>
        <v/>
      </c>
      <c r="Y173" s="9">
        <f>IF(ISNUMBER($V173),$V173*$J173*Assumptions!$B$4,"NA")</f>
        <v/>
      </c>
    </row>
    <row r="174">
      <c r="A174" s="5" t="inlineStr">
        <is>
          <t>Austin Engineering</t>
        </is>
      </c>
      <c r="B174" s="11" t="inlineStr">
        <is>
          <t>Dump bodies/truck trays</t>
        </is>
      </c>
      <c r="C174" s="5" t="inlineStr">
        <is>
          <t>Austin Engineering Limited</t>
        </is>
      </c>
      <c r="D174" s="11" t="inlineStr">
        <is>
          <t>Parent/Affiliate</t>
        </is>
      </c>
      <c r="E174" s="5" t="inlineStr">
        <is>
          <t>Australia</t>
        </is>
      </c>
      <c r="F174" s="5" t="n">
        <v>2023</v>
      </c>
      <c r="G174" s="5" t="n">
        <v>4</v>
      </c>
      <c r="H174" s="7" t="n">
        <v>106695</v>
      </c>
      <c r="I174" s="5" t="inlineStr">
        <is>
          <t>AUD</t>
        </is>
      </c>
      <c r="J174" s="8">
        <f>IF($I174="AUD",Assumptions!$B$2,Assumptions!$B$3)</f>
        <v/>
      </c>
      <c r="K174" s="9">
        <f>$G174*$H174*$J174</f>
        <v/>
      </c>
      <c r="L174" s="9">
        <f>$K174*Assumptions!$B$4</f>
        <v/>
      </c>
      <c r="M174" s="9">
        <f>RawTx[[#This Row],[Value USD]]/RawTx[[#This Row],[Quantity]]</f>
        <v/>
      </c>
      <c r="N174" s="9">
        <f>RawTx[[#This Row],[Value IDR]]/RawTx[[#This Row],[Quantity]]</f>
        <v/>
      </c>
      <c r="O174" s="4" t="inlineStr">
        <is>
          <t>HD785-7 ULTIMA BODY TRUCK C/W ACCESSORIES PARTS</t>
        </is>
      </c>
      <c r="P174" s="5" t="inlineStr">
        <is>
          <t>Komatsu</t>
        </is>
      </c>
      <c r="Q174" s="13" t="inlineStr">
        <is>
          <t>HD785-7</t>
        </is>
      </c>
      <c r="R174" s="7" t="n">
        <v>55076</v>
      </c>
      <c r="S174" s="7">
        <f>IFERROR($R174/$G174,"")</f>
        <v/>
      </c>
      <c r="T174" s="7" t="n">
        <v>12788.3</v>
      </c>
      <c r="U174" s="7" t="n">
        <v>1317.64</v>
      </c>
      <c r="V174" s="7" t="n">
        <v>629964</v>
      </c>
      <c r="W174" s="9">
        <f>IF(ISNUMBER($T174),$T174*$J174*Assumptions!$B$4,"NA")</f>
        <v/>
      </c>
      <c r="X174" s="9">
        <f>IF(ISNUMBER($U174),$U174*$J174*Assumptions!$B$4,"NA")</f>
        <v/>
      </c>
      <c r="Y174" s="9">
        <f>IF(ISNUMBER($V174),$V174*$J174*Assumptions!$B$4,"NA")</f>
        <v/>
      </c>
    </row>
    <row r="175">
      <c r="A175" s="5" t="inlineStr">
        <is>
          <t>Austin Engineering</t>
        </is>
      </c>
      <c r="B175" s="11" t="inlineStr">
        <is>
          <t>Dump bodies/truck trays</t>
        </is>
      </c>
      <c r="C175" s="5" t="inlineStr">
        <is>
          <t>Austin Engineering Limited</t>
        </is>
      </c>
      <c r="D175" s="11" t="inlineStr">
        <is>
          <t>Parent/Affiliate</t>
        </is>
      </c>
      <c r="E175" s="5" t="inlineStr">
        <is>
          <t>Australia</t>
        </is>
      </c>
      <c r="F175" s="5" t="n">
        <v>2023</v>
      </c>
      <c r="G175" s="5" t="n">
        <v>3</v>
      </c>
      <c r="H175" s="7" t="n">
        <v>180756</v>
      </c>
      <c r="I175" s="5" t="inlineStr">
        <is>
          <t>AUD</t>
        </is>
      </c>
      <c r="J175" s="8">
        <f>IF($I175="AUD",Assumptions!$B$2,Assumptions!$B$3)</f>
        <v/>
      </c>
      <c r="K175" s="9">
        <f>$G175*$H175*$J175</f>
        <v/>
      </c>
      <c r="L175" s="9">
        <f>$K175*Assumptions!$B$4</f>
        <v/>
      </c>
      <c r="M175" s="9">
        <f>RawTx[[#This Row],[Value USD]]/RawTx[[#This Row],[Quantity]]</f>
        <v/>
      </c>
      <c r="N175" s="9">
        <f>RawTx[[#This Row],[Value IDR]]/RawTx[[#This Row],[Quantity]]</f>
        <v/>
      </c>
      <c r="O175" s="4" t="inlineStr">
        <is>
          <t>CAT 789D ULTIMA BODY TRUCK</t>
        </is>
      </c>
      <c r="P175" s="5" t="inlineStr">
        <is>
          <t>Caterpillar</t>
        </is>
      </c>
      <c r="Q175" s="13" t="inlineStr">
        <is>
          <t>789D</t>
        </is>
      </c>
      <c r="R175" s="7" t="n">
        <v>68880</v>
      </c>
      <c r="S175" s="7">
        <f>IFERROR($R175/$G175,"")</f>
        <v/>
      </c>
      <c r="T175" s="7" t="n">
        <v>16153.2</v>
      </c>
      <c r="U175" s="7" t="n">
        <v>1664.35</v>
      </c>
      <c r="V175" s="7" t="n">
        <v>795723</v>
      </c>
      <c r="W175" s="9">
        <f>IF(ISNUMBER($T175),$T175*$J175*Assumptions!$B$4,"NA")</f>
        <v/>
      </c>
      <c r="X175" s="9">
        <f>IF(ISNUMBER($U175),$U175*$J175*Assumptions!$B$4,"NA")</f>
        <v/>
      </c>
      <c r="Y175" s="9">
        <f>IF(ISNUMBER($V175),$V175*$J175*Assumptions!$B$4,"NA")</f>
        <v/>
      </c>
    </row>
    <row r="176">
      <c r="A176" s="5" t="inlineStr">
        <is>
          <t>Austin Engineering</t>
        </is>
      </c>
      <c r="B176" s="11" t="inlineStr">
        <is>
          <t>Dump bodies/truck trays</t>
        </is>
      </c>
      <c r="C176" s="5" t="inlineStr">
        <is>
          <t>Austin Engineering Limited</t>
        </is>
      </c>
      <c r="D176" s="11" t="inlineStr">
        <is>
          <t>Parent/Affiliate</t>
        </is>
      </c>
      <c r="E176" s="5" t="inlineStr">
        <is>
          <t>Australia</t>
        </is>
      </c>
      <c r="F176" s="5" t="n">
        <v>2023</v>
      </c>
      <c r="G176" s="5" t="n">
        <v>2</v>
      </c>
      <c r="H176" s="7" t="n">
        <v>162171</v>
      </c>
      <c r="I176" s="5" t="inlineStr">
        <is>
          <t>AUD</t>
        </is>
      </c>
      <c r="J176" s="8">
        <f>IF($I176="AUD",Assumptions!$B$2,Assumptions!$B$3)</f>
        <v/>
      </c>
      <c r="K176" s="9">
        <f>$G176*$H176*$J176</f>
        <v/>
      </c>
      <c r="L176" s="9">
        <f>$K176*Assumptions!$B$4</f>
        <v/>
      </c>
      <c r="M176" s="9">
        <f>RawTx[[#This Row],[Value USD]]/RawTx[[#This Row],[Quantity]]</f>
        <v/>
      </c>
      <c r="N176" s="9">
        <f>RawTx[[#This Row],[Value IDR]]/RawTx[[#This Row],[Quantity]]</f>
        <v/>
      </c>
      <c r="O176" s="4" t="inlineStr">
        <is>
          <t>CAT 785 D FULL BODY</t>
        </is>
      </c>
      <c r="P176" s="5" t="inlineStr">
        <is>
          <t>Caterpillar</t>
        </is>
      </c>
      <c r="Q176" s="14" t="inlineStr">
        <is>
          <t>785D</t>
        </is>
      </c>
      <c r="R176" s="7" t="n">
        <v>42100</v>
      </c>
      <c r="S176" s="7">
        <f>IFERROR($R176/$G176,"")</f>
        <v/>
      </c>
      <c r="T176" s="7" t="n">
        <v>9654.68</v>
      </c>
      <c r="U176" s="7" t="n">
        <v>994.77</v>
      </c>
      <c r="V176" s="7" t="n">
        <v>475600</v>
      </c>
      <c r="W176" s="9">
        <f>IF(ISNUMBER($T176),$T176*$J176*Assumptions!$B$4,"NA")</f>
        <v/>
      </c>
      <c r="X176" s="9">
        <f>IF(ISNUMBER($U176),$U176*$J176*Assumptions!$B$4,"NA")</f>
        <v/>
      </c>
      <c r="Y176" s="9">
        <f>IF(ISNUMBER($V176),$V176*$J176*Assumptions!$B$4,"NA")</f>
        <v/>
      </c>
    </row>
    <row r="177">
      <c r="A177" s="5" t="inlineStr">
        <is>
          <t>Austin Engineering</t>
        </is>
      </c>
      <c r="B177" s="11" t="inlineStr">
        <is>
          <t>Dump bodies/truck trays</t>
        </is>
      </c>
      <c r="C177" s="5" t="inlineStr">
        <is>
          <t>Austin Engineering Limited</t>
        </is>
      </c>
      <c r="D177" s="11" t="inlineStr">
        <is>
          <t>Parent/Affiliate</t>
        </is>
      </c>
      <c r="E177" s="5" t="inlineStr">
        <is>
          <t>Australia</t>
        </is>
      </c>
      <c r="F177" s="5" t="n">
        <v>2023</v>
      </c>
      <c r="G177" s="5" t="n">
        <v>2</v>
      </c>
      <c r="H177" s="7" t="n">
        <v>164615</v>
      </c>
      <c r="I177" s="5" t="inlineStr">
        <is>
          <t>AUD</t>
        </is>
      </c>
      <c r="J177" s="8">
        <f>IF($I177="AUD",Assumptions!$B$2,Assumptions!$B$3)</f>
        <v/>
      </c>
      <c r="K177" s="9">
        <f>$G177*$H177*$J177</f>
        <v/>
      </c>
      <c r="L177" s="9">
        <f>$K177*Assumptions!$B$4</f>
        <v/>
      </c>
      <c r="M177" s="9">
        <f>RawTx[[#This Row],[Value USD]]/RawTx[[#This Row],[Quantity]]</f>
        <v/>
      </c>
      <c r="N177" s="9">
        <f>RawTx[[#This Row],[Value IDR]]/RawTx[[#This Row],[Quantity]]</f>
        <v/>
      </c>
      <c r="O177" s="4" t="inlineStr">
        <is>
          <t>CAT 785 D FULL BODY</t>
        </is>
      </c>
      <c r="P177" s="5" t="inlineStr">
        <is>
          <t>Caterpillar</t>
        </is>
      </c>
      <c r="Q177" s="14" t="inlineStr">
        <is>
          <t>785D</t>
        </is>
      </c>
      <c r="R177" s="7" t="n">
        <v>42100</v>
      </c>
      <c r="S177" s="7">
        <f>IFERROR($R177/$G177,"")</f>
        <v/>
      </c>
      <c r="T177" s="7" t="n">
        <v>9654.68</v>
      </c>
      <c r="U177" s="7" t="n">
        <v>994.77</v>
      </c>
      <c r="V177" s="7" t="n">
        <v>475600</v>
      </c>
      <c r="W177" s="9">
        <f>IF(ISNUMBER($T177),$T177*$J177*Assumptions!$B$4,"NA")</f>
        <v/>
      </c>
      <c r="X177" s="9">
        <f>IF(ISNUMBER($U177),$U177*$J177*Assumptions!$B$4,"NA")</f>
        <v/>
      </c>
      <c r="Y177" s="9">
        <f>IF(ISNUMBER($V177),$V177*$J177*Assumptions!$B$4,"NA")</f>
        <v/>
      </c>
    </row>
    <row r="178">
      <c r="A178" s="5" t="inlineStr">
        <is>
          <t>Austin Engineering</t>
        </is>
      </c>
      <c r="B178" s="11" t="inlineStr">
        <is>
          <t>Dump bodies/truck trays</t>
        </is>
      </c>
      <c r="C178" s="5" t="inlineStr">
        <is>
          <t>Hamersley Iron Pty Limited</t>
        </is>
      </c>
      <c r="D178" s="5" t="inlineStr">
        <is>
          <t>Owner</t>
        </is>
      </c>
      <c r="E178" s="5" t="inlineStr">
        <is>
          <t>Australia</t>
        </is>
      </c>
      <c r="F178" s="5" t="n">
        <v>2023</v>
      </c>
      <c r="G178" s="5" t="n">
        <v>7</v>
      </c>
      <c r="H178" s="7" t="n">
        <v>114352</v>
      </c>
      <c r="I178" s="5" t="inlineStr">
        <is>
          <t>AUD</t>
        </is>
      </c>
      <c r="J178" s="8">
        <f>IF($I178="AUD",Assumptions!$B$2,Assumptions!$B$3)</f>
        <v/>
      </c>
      <c r="K178" s="9">
        <f>$G178*$H178*$J178</f>
        <v/>
      </c>
      <c r="L178" s="9">
        <f>$K178*Assumptions!$B$4</f>
        <v/>
      </c>
      <c r="M178" s="9">
        <f>RawTx[[#This Row],[Value USD]]/RawTx[[#This Row],[Quantity]]</f>
        <v/>
      </c>
      <c r="N178" s="9">
        <f>RawTx[[#This Row],[Value IDR]]/RawTx[[#This Row],[Quantity]]</f>
        <v/>
      </c>
      <c r="O178" s="4" t="inlineStr">
        <is>
          <t>KOMATSU 830E HPT MAX STD .PO REFERENCE : 3014164920,3014164926,3014164</t>
        </is>
      </c>
      <c r="P178" s="5" t="inlineStr">
        <is>
          <t>Komatsu</t>
        </is>
      </c>
      <c r="Q178" s="13" t="inlineStr">
        <is>
          <t>830E</t>
        </is>
      </c>
      <c r="R178" s="7" t="n">
        <v>182623</v>
      </c>
      <c r="S178" s="7">
        <f>IFERROR($R178/$G178,"")</f>
        <v/>
      </c>
      <c r="T178" s="7" t="n">
        <v>25350.6</v>
      </c>
      <c r="U178" s="7" t="n">
        <v>2612.01</v>
      </c>
      <c r="V178" s="7" t="n">
        <v>1248800</v>
      </c>
      <c r="W178" s="9">
        <f>IF(ISNUMBER($T178),$T178*$J178*Assumptions!$B$4,"NA")</f>
        <v/>
      </c>
      <c r="X178" s="9">
        <f>IF(ISNUMBER($U178),$U178*$J178*Assumptions!$B$4,"NA")</f>
        <v/>
      </c>
      <c r="Y178" s="9">
        <f>IF(ISNUMBER($V178),$V178*$J178*Assumptions!$B$4,"NA")</f>
        <v/>
      </c>
    </row>
    <row r="179">
      <c r="A179" s="5" t="inlineStr">
        <is>
          <t>Austin Engineering</t>
        </is>
      </c>
      <c r="B179" s="11" t="inlineStr">
        <is>
          <t>Dump bodies/truck trays</t>
        </is>
      </c>
      <c r="C179" s="5" t="inlineStr">
        <is>
          <t>Hamersley Iron Pty Limited</t>
        </is>
      </c>
      <c r="D179" s="5" t="inlineStr">
        <is>
          <t>Owner</t>
        </is>
      </c>
      <c r="E179" s="5" t="inlineStr">
        <is>
          <t>Australia</t>
        </is>
      </c>
      <c r="F179" s="5" t="n">
        <v>2023</v>
      </c>
      <c r="G179" s="5" t="n">
        <v>1</v>
      </c>
      <c r="H179" s="7" t="n">
        <v>178311</v>
      </c>
      <c r="I179" s="5" t="inlineStr">
        <is>
          <t>AUD</t>
        </is>
      </c>
      <c r="J179" s="8">
        <f>IF($I179="AUD",Assumptions!$B$2,Assumptions!$B$3)</f>
        <v/>
      </c>
      <c r="K179" s="9">
        <f>$G179*$H179*$J179</f>
        <v/>
      </c>
      <c r="L179" s="9">
        <f>$K179*Assumptions!$B$4</f>
        <v/>
      </c>
      <c r="M179" s="9">
        <f>RawTx[[#This Row],[Value USD]]/RawTx[[#This Row],[Quantity]]</f>
        <v/>
      </c>
      <c r="N179" s="9">
        <f>RawTx[[#This Row],[Value IDR]]/RawTx[[#This Row],[Quantity]]</f>
        <v/>
      </c>
      <c r="O179" s="4" t="inlineStr">
        <is>
          <t>KOMATSU 830E HPT MAX STD PO REFERENCE: 3014092524</t>
        </is>
      </c>
      <c r="P179" s="5" t="inlineStr">
        <is>
          <t>Komatsu</t>
        </is>
      </c>
      <c r="Q179" s="13" t="inlineStr">
        <is>
          <t>830E</t>
        </is>
      </c>
      <c r="R179" s="7" t="n">
        <v>26000</v>
      </c>
      <c r="S179" s="7">
        <f>IFERROR($R179/$G179,"")</f>
        <v/>
      </c>
      <c r="T179" s="7" t="n">
        <v>39421.2</v>
      </c>
      <c r="U179" s="7" t="n">
        <v>4061.77</v>
      </c>
      <c r="V179" s="7" t="n">
        <v>277419</v>
      </c>
      <c r="W179" s="9">
        <f>IF(ISNUMBER($T179),$T179*$J179*Assumptions!$B$4,"NA")</f>
        <v/>
      </c>
      <c r="X179" s="9">
        <f>IF(ISNUMBER($U179),$U179*$J179*Assumptions!$B$4,"NA")</f>
        <v/>
      </c>
      <c r="Y179" s="9">
        <f>IF(ISNUMBER($V179),$V179*$J179*Assumptions!$B$4,"NA")</f>
        <v/>
      </c>
    </row>
    <row r="180">
      <c r="A180" s="5" t="inlineStr">
        <is>
          <t>Austin Engineering</t>
        </is>
      </c>
      <c r="B180" s="11" t="inlineStr">
        <is>
          <t>Dump bodies/truck trays</t>
        </is>
      </c>
      <c r="C180" s="5" t="inlineStr">
        <is>
          <t>Hamersley Iron Pty Limited</t>
        </is>
      </c>
      <c r="D180" s="5" t="inlineStr">
        <is>
          <t>Owner</t>
        </is>
      </c>
      <c r="E180" s="5" t="inlineStr">
        <is>
          <t>Australia</t>
        </is>
      </c>
      <c r="F180" s="5" t="n">
        <v>2023</v>
      </c>
      <c r="G180" s="5" t="n">
        <v>1</v>
      </c>
      <c r="H180" s="7" t="n">
        <v>178311</v>
      </c>
      <c r="I180" s="5" t="inlineStr">
        <is>
          <t>AUD</t>
        </is>
      </c>
      <c r="J180" s="8">
        <f>IF($I180="AUD",Assumptions!$B$2,Assumptions!$B$3)</f>
        <v/>
      </c>
      <c r="K180" s="9">
        <f>$G180*$H180*$J180</f>
        <v/>
      </c>
      <c r="L180" s="9">
        <f>$K180*Assumptions!$B$4</f>
        <v/>
      </c>
      <c r="M180" s="9">
        <f>RawTx[[#This Row],[Value USD]]/RawTx[[#This Row],[Quantity]]</f>
        <v/>
      </c>
      <c r="N180" s="9">
        <f>RawTx[[#This Row],[Value IDR]]/RawTx[[#This Row],[Quantity]]</f>
        <v/>
      </c>
      <c r="O180" s="4" t="inlineStr">
        <is>
          <t>KOMATSU 830E HPT MAX STD PO REFERENCE: 3014092528</t>
        </is>
      </c>
      <c r="P180" s="5" t="inlineStr">
        <is>
          <t>Komatsu</t>
        </is>
      </c>
      <c r="Q180" s="13" t="inlineStr">
        <is>
          <t>830E</t>
        </is>
      </c>
      <c r="R180" s="7" t="n">
        <v>26000</v>
      </c>
      <c r="S180" s="7">
        <f>IFERROR($R180/$G180,"")</f>
        <v/>
      </c>
      <c r="T180" s="7" t="n">
        <v>39421.2</v>
      </c>
      <c r="U180" s="7" t="n">
        <v>4061.77</v>
      </c>
      <c r="V180" s="7" t="n">
        <v>277419</v>
      </c>
      <c r="W180" s="9">
        <f>IF(ISNUMBER($T180),$T180*$J180*Assumptions!$B$4,"NA")</f>
        <v/>
      </c>
      <c r="X180" s="9">
        <f>IF(ISNUMBER($U180),$U180*$J180*Assumptions!$B$4,"NA")</f>
        <v/>
      </c>
      <c r="Y180" s="9">
        <f>IF(ISNUMBER($V180),$V180*$J180*Assumptions!$B$4,"NA")</f>
        <v/>
      </c>
    </row>
    <row r="181">
      <c r="A181" s="5" t="inlineStr">
        <is>
          <t>Austin Engineering</t>
        </is>
      </c>
      <c r="B181" s="11" t="inlineStr">
        <is>
          <t>Dump bodies/truck trays</t>
        </is>
      </c>
      <c r="C181" s="5" t="inlineStr">
        <is>
          <t>Hamersley Iron Pty Limited</t>
        </is>
      </c>
      <c r="D181" s="5" t="inlineStr">
        <is>
          <t>Owner</t>
        </is>
      </c>
      <c r="E181" s="5" t="inlineStr">
        <is>
          <t>Australia</t>
        </is>
      </c>
      <c r="F181" s="5" t="n">
        <v>2023</v>
      </c>
      <c r="G181" s="5" t="n">
        <v>1</v>
      </c>
      <c r="H181" s="7" t="n">
        <v>178311</v>
      </c>
      <c r="I181" s="5" t="inlineStr">
        <is>
          <t>AUD</t>
        </is>
      </c>
      <c r="J181" s="8">
        <f>IF($I181="AUD",Assumptions!$B$2,Assumptions!$B$3)</f>
        <v/>
      </c>
      <c r="K181" s="9">
        <f>$G181*$H181*$J181</f>
        <v/>
      </c>
      <c r="L181" s="9">
        <f>$K181*Assumptions!$B$4</f>
        <v/>
      </c>
      <c r="M181" s="9">
        <f>RawTx[[#This Row],[Value USD]]/RawTx[[#This Row],[Quantity]]</f>
        <v/>
      </c>
      <c r="N181" s="9">
        <f>RawTx[[#This Row],[Value IDR]]/RawTx[[#This Row],[Quantity]]</f>
        <v/>
      </c>
      <c r="O181" s="4" t="inlineStr">
        <is>
          <t>KOMATSU 830E HPT MAX STD PO REFERENCE: 3014092532</t>
        </is>
      </c>
      <c r="P181" s="5" t="inlineStr">
        <is>
          <t>Komatsu</t>
        </is>
      </c>
      <c r="Q181" s="13" t="inlineStr">
        <is>
          <t>830E</t>
        </is>
      </c>
      <c r="R181" s="7" t="n">
        <v>26000</v>
      </c>
      <c r="S181" s="7">
        <f>IFERROR($R181/$G181,"")</f>
        <v/>
      </c>
      <c r="T181" s="7" t="n">
        <v>39421.2</v>
      </c>
      <c r="U181" s="7" t="n">
        <v>4061.77</v>
      </c>
      <c r="V181" s="7" t="n">
        <v>277419</v>
      </c>
      <c r="W181" s="9">
        <f>IF(ISNUMBER($T181),$T181*$J181*Assumptions!$B$4,"NA")</f>
        <v/>
      </c>
      <c r="X181" s="9">
        <f>IF(ISNUMBER($U181),$U181*$J181*Assumptions!$B$4,"NA")</f>
        <v/>
      </c>
      <c r="Y181" s="9">
        <f>IF(ISNUMBER($V181),$V181*$J181*Assumptions!$B$4,"NA")</f>
        <v/>
      </c>
    </row>
    <row r="182">
      <c r="A182" s="5" t="inlineStr">
        <is>
          <t>Austin Engineering</t>
        </is>
      </c>
      <c r="B182" s="11" t="inlineStr">
        <is>
          <t>Dump bodies/truck trays</t>
        </is>
      </c>
      <c r="C182" s="5" t="inlineStr">
        <is>
          <t>Hamersley Iron Pty Limited</t>
        </is>
      </c>
      <c r="D182" s="5" t="inlineStr">
        <is>
          <t>Owner</t>
        </is>
      </c>
      <c r="E182" s="5" t="inlineStr">
        <is>
          <t>Australia</t>
        </is>
      </c>
      <c r="F182" s="5" t="n">
        <v>2023</v>
      </c>
      <c r="G182" s="5" t="n">
        <v>1</v>
      </c>
      <c r="H182" s="7" t="n">
        <v>178311</v>
      </c>
      <c r="I182" s="5" t="inlineStr">
        <is>
          <t>AUD</t>
        </is>
      </c>
      <c r="J182" s="8">
        <f>IF($I182="AUD",Assumptions!$B$2,Assumptions!$B$3)</f>
        <v/>
      </c>
      <c r="K182" s="9">
        <f>$G182*$H182*$J182</f>
        <v/>
      </c>
      <c r="L182" s="9">
        <f>$K182*Assumptions!$B$4</f>
        <v/>
      </c>
      <c r="M182" s="9">
        <f>RawTx[[#This Row],[Value USD]]/RawTx[[#This Row],[Quantity]]</f>
        <v/>
      </c>
      <c r="N182" s="9">
        <f>RawTx[[#This Row],[Value IDR]]/RawTx[[#This Row],[Quantity]]</f>
        <v/>
      </c>
      <c r="O182" s="4" t="inlineStr">
        <is>
          <t>KOMATSU 830E HPT MAX STD PO REFERENCE: 3014092518</t>
        </is>
      </c>
      <c r="P182" s="5" t="inlineStr">
        <is>
          <t>Komatsu</t>
        </is>
      </c>
      <c r="Q182" s="13" t="inlineStr">
        <is>
          <t>830E</t>
        </is>
      </c>
      <c r="R182" s="7" t="n">
        <v>26000</v>
      </c>
      <c r="S182" s="7">
        <f>IFERROR($R182/$G182,"")</f>
        <v/>
      </c>
      <c r="T182" s="7" t="n">
        <v>39421.2</v>
      </c>
      <c r="U182" s="7" t="n">
        <v>4061.77</v>
      </c>
      <c r="V182" s="7" t="n">
        <v>277419</v>
      </c>
      <c r="W182" s="9">
        <f>IF(ISNUMBER($T182),$T182*$J182*Assumptions!$B$4,"NA")</f>
        <v/>
      </c>
      <c r="X182" s="9">
        <f>IF(ISNUMBER($U182),$U182*$J182*Assumptions!$B$4,"NA")</f>
        <v/>
      </c>
      <c r="Y182" s="9">
        <f>IF(ISNUMBER($V182),$V182*$J182*Assumptions!$B$4,"NA")</f>
        <v/>
      </c>
    </row>
    <row r="183">
      <c r="A183" s="5" t="inlineStr">
        <is>
          <t>Austin Engineering</t>
        </is>
      </c>
      <c r="B183" s="11" t="inlineStr">
        <is>
          <t>Dump bodies/truck trays</t>
        </is>
      </c>
      <c r="C183" s="5" t="inlineStr">
        <is>
          <t>Hamersley Iron Pty Limited</t>
        </is>
      </c>
      <c r="D183" s="5" t="inlineStr">
        <is>
          <t>Owner</t>
        </is>
      </c>
      <c r="E183" s="5" t="inlineStr">
        <is>
          <t>Australia</t>
        </is>
      </c>
      <c r="F183" s="5" t="n">
        <v>2023</v>
      </c>
      <c r="G183" s="5" t="n">
        <v>1</v>
      </c>
      <c r="H183" s="7" t="n">
        <v>178311</v>
      </c>
      <c r="I183" s="5" t="inlineStr">
        <is>
          <t>AUD</t>
        </is>
      </c>
      <c r="J183" s="8">
        <f>IF($I183="AUD",Assumptions!$B$2,Assumptions!$B$3)</f>
        <v/>
      </c>
      <c r="K183" s="9">
        <f>$G183*$H183*$J183</f>
        <v/>
      </c>
      <c r="L183" s="9">
        <f>$K183*Assumptions!$B$4</f>
        <v/>
      </c>
      <c r="M183" s="9">
        <f>RawTx[[#This Row],[Value USD]]/RawTx[[#This Row],[Quantity]]</f>
        <v/>
      </c>
      <c r="N183" s="9">
        <f>RawTx[[#This Row],[Value IDR]]/RawTx[[#This Row],[Quantity]]</f>
        <v/>
      </c>
      <c r="O183" s="4" t="inlineStr">
        <is>
          <t>KOMATSU 830E HPT MAX STD PO REFERENCE: 3014092526</t>
        </is>
      </c>
      <c r="P183" s="5" t="inlineStr">
        <is>
          <t>Komatsu</t>
        </is>
      </c>
      <c r="Q183" s="13" t="inlineStr">
        <is>
          <t>830E</t>
        </is>
      </c>
      <c r="R183" s="7" t="n">
        <v>26000</v>
      </c>
      <c r="S183" s="7">
        <f>IFERROR($R183/$G183,"")</f>
        <v/>
      </c>
      <c r="T183" s="7" t="n">
        <v>39421.2</v>
      </c>
      <c r="U183" s="7" t="n">
        <v>4061.77</v>
      </c>
      <c r="V183" s="7" t="n">
        <v>277419</v>
      </c>
      <c r="W183" s="9">
        <f>IF(ISNUMBER($T183),$T183*$J183*Assumptions!$B$4,"NA")</f>
        <v/>
      </c>
      <c r="X183" s="9">
        <f>IF(ISNUMBER($U183),$U183*$J183*Assumptions!$B$4,"NA")</f>
        <v/>
      </c>
      <c r="Y183" s="9">
        <f>IF(ISNUMBER($V183),$V183*$J183*Assumptions!$B$4,"NA")</f>
        <v/>
      </c>
    </row>
    <row r="184">
      <c r="A184" s="5" t="inlineStr">
        <is>
          <t>Austin Engineering</t>
        </is>
      </c>
      <c r="B184" s="11" t="inlineStr">
        <is>
          <t>Dump bodies/truck trays</t>
        </is>
      </c>
      <c r="C184" s="5" t="inlineStr">
        <is>
          <t>Hamersley Iron Pty Limited</t>
        </is>
      </c>
      <c r="D184" s="5" t="inlineStr">
        <is>
          <t>Owner</t>
        </is>
      </c>
      <c r="E184" s="5" t="inlineStr">
        <is>
          <t>Australia</t>
        </is>
      </c>
      <c r="F184" s="5" t="n">
        <v>2023</v>
      </c>
      <c r="G184" s="5" t="n">
        <v>1</v>
      </c>
      <c r="H184" s="7" t="n">
        <v>178311</v>
      </c>
      <c r="I184" s="5" t="inlineStr">
        <is>
          <t>AUD</t>
        </is>
      </c>
      <c r="J184" s="8">
        <f>IF($I184="AUD",Assumptions!$B$2,Assumptions!$B$3)</f>
        <v/>
      </c>
      <c r="K184" s="9">
        <f>$G184*$H184*$J184</f>
        <v/>
      </c>
      <c r="L184" s="9">
        <f>$K184*Assumptions!$B$4</f>
        <v/>
      </c>
      <c r="M184" s="9">
        <f>RawTx[[#This Row],[Value USD]]/RawTx[[#This Row],[Quantity]]</f>
        <v/>
      </c>
      <c r="N184" s="9">
        <f>RawTx[[#This Row],[Value IDR]]/RawTx[[#This Row],[Quantity]]</f>
        <v/>
      </c>
      <c r="O184" s="4" t="inlineStr">
        <is>
          <t>KOMATSU 830E HPT MAX STD PO REFERENCE: 3014092535</t>
        </is>
      </c>
      <c r="P184" s="5" t="inlineStr">
        <is>
          <t>Komatsu</t>
        </is>
      </c>
      <c r="Q184" s="13" t="inlineStr">
        <is>
          <t>830E</t>
        </is>
      </c>
      <c r="R184" s="7" t="n">
        <v>26000</v>
      </c>
      <c r="S184" s="7">
        <f>IFERROR($R184/$G184,"")</f>
        <v/>
      </c>
      <c r="T184" s="7" t="n">
        <v>39421.2</v>
      </c>
      <c r="U184" s="7" t="n">
        <v>4061.77</v>
      </c>
      <c r="V184" s="7" t="n">
        <v>277419</v>
      </c>
      <c r="W184" s="9">
        <f>IF(ISNUMBER($T184),$T184*$J184*Assumptions!$B$4,"NA")</f>
        <v/>
      </c>
      <c r="X184" s="9">
        <f>IF(ISNUMBER($U184),$U184*$J184*Assumptions!$B$4,"NA")</f>
        <v/>
      </c>
      <c r="Y184" s="9">
        <f>IF(ISNUMBER($V184),$V184*$J184*Assumptions!$B$4,"NA")</f>
        <v/>
      </c>
    </row>
    <row r="185">
      <c r="A185" s="5" t="inlineStr">
        <is>
          <t>Austin Engineering</t>
        </is>
      </c>
      <c r="B185" s="11" t="inlineStr">
        <is>
          <t>Dump bodies/truck trays</t>
        </is>
      </c>
      <c r="C185" s="5" t="inlineStr">
        <is>
          <t>Hamersley Iron Pty Limited</t>
        </is>
      </c>
      <c r="D185" s="5" t="inlineStr">
        <is>
          <t>Owner</t>
        </is>
      </c>
      <c r="E185" s="5" t="inlineStr">
        <is>
          <t>Australia</t>
        </is>
      </c>
      <c r="F185" s="5" t="n">
        <v>2023</v>
      </c>
      <c r="G185" s="5" t="n">
        <v>1</v>
      </c>
      <c r="H185" s="7" t="n">
        <v>178311</v>
      </c>
      <c r="I185" s="5" t="inlineStr">
        <is>
          <t>AUD</t>
        </is>
      </c>
      <c r="J185" s="8">
        <f>IF($I185="AUD",Assumptions!$B$2,Assumptions!$B$3)</f>
        <v/>
      </c>
      <c r="K185" s="9">
        <f>$G185*$H185*$J185</f>
        <v/>
      </c>
      <c r="L185" s="9">
        <f>$K185*Assumptions!$B$4</f>
        <v/>
      </c>
      <c r="M185" s="9">
        <f>RawTx[[#This Row],[Value USD]]/RawTx[[#This Row],[Quantity]]</f>
        <v/>
      </c>
      <c r="N185" s="9">
        <f>RawTx[[#This Row],[Value IDR]]/RawTx[[#This Row],[Quantity]]</f>
        <v/>
      </c>
      <c r="O185" s="4" t="inlineStr">
        <is>
          <t>KOMATSU 830E HPT MAX STD PO REFERENCE: 3014092530</t>
        </is>
      </c>
      <c r="P185" s="5" t="inlineStr">
        <is>
          <t>Komatsu</t>
        </is>
      </c>
      <c r="Q185" s="13" t="inlineStr">
        <is>
          <t>830E</t>
        </is>
      </c>
      <c r="R185" s="7" t="n">
        <v>26000</v>
      </c>
      <c r="S185" s="7">
        <f>IFERROR($R185/$G185,"")</f>
        <v/>
      </c>
      <c r="T185" s="7" t="n">
        <v>39421.2</v>
      </c>
      <c r="U185" s="7" t="n">
        <v>4061.77</v>
      </c>
      <c r="V185" s="7" t="n">
        <v>277419</v>
      </c>
      <c r="W185" s="9">
        <f>IF(ISNUMBER($T185),$T185*$J185*Assumptions!$B$4,"NA")</f>
        <v/>
      </c>
      <c r="X185" s="9">
        <f>IF(ISNUMBER($U185),$U185*$J185*Assumptions!$B$4,"NA")</f>
        <v/>
      </c>
      <c r="Y185" s="9">
        <f>IF(ISNUMBER($V185),$V185*$J185*Assumptions!$B$4,"NA")</f>
        <v/>
      </c>
    </row>
    <row r="186">
      <c r="A186" s="5" t="inlineStr">
        <is>
          <t>Austin Engineering</t>
        </is>
      </c>
      <c r="B186" s="11" t="inlineStr">
        <is>
          <t>Dump bodies/truck trays</t>
        </is>
      </c>
      <c r="C186" s="5" t="inlineStr">
        <is>
          <t>Kibali Gold Mines SA KGM</t>
        </is>
      </c>
      <c r="D186" s="5" t="inlineStr">
        <is>
          <t>Owner</t>
        </is>
      </c>
      <c r="E186" s="5" t="inlineStr">
        <is>
          <t>Congo, Dem. Rep.</t>
        </is>
      </c>
      <c r="F186" s="5" t="n">
        <v>2023</v>
      </c>
      <c r="G186" s="5" t="n">
        <v>3</v>
      </c>
      <c r="H186" s="7" t="n">
        <v>143505.56</v>
      </c>
      <c r="I186" s="5" t="inlineStr">
        <is>
          <t>USD</t>
        </is>
      </c>
      <c r="J186" s="8">
        <f>IF($I186="AUD",Assumptions!$B$2,Assumptions!$B$3)</f>
        <v/>
      </c>
      <c r="K186" s="9">
        <f>$G186*$H186*$J186</f>
        <v/>
      </c>
      <c r="L186" s="9">
        <f>$K186*Assumptions!$B$4</f>
        <v/>
      </c>
      <c r="M186" s="9">
        <f>RawTx[[#This Row],[Value USD]]/RawTx[[#This Row],[Quantity]]</f>
        <v/>
      </c>
      <c r="N186" s="9">
        <f>RawTx[[#This Row],[Value IDR]]/RawTx[[#This Row],[Quantity]]</f>
        <v/>
      </c>
      <c r="O186" s="4" t="inlineStr">
        <is>
          <t>CAT 777 ULTIMA BODY+ACCESSORIES</t>
        </is>
      </c>
      <c r="P186" s="5" t="inlineStr">
        <is>
          <t>Caterpillar</t>
        </is>
      </c>
      <c r="Q186" s="13" t="n">
        <v>777</v>
      </c>
      <c r="R186" s="7" t="n">
        <v>44535</v>
      </c>
      <c r="S186" s="7">
        <f>IFERROR($R186/$G186,"")</f>
        <v/>
      </c>
      <c r="T186" s="7" t="inlineStr">
        <is>
          <t>NA</t>
        </is>
      </c>
      <c r="U186" s="7" t="inlineStr">
        <is>
          <t>NA</t>
        </is>
      </c>
      <c r="V186" s="7" t="inlineStr">
        <is>
          <t>NA</t>
        </is>
      </c>
      <c r="W186" s="9">
        <f>IF(ISNUMBER($T186),$T186*$J186*Assumptions!$B$4,"NA")</f>
        <v/>
      </c>
      <c r="X186" s="9">
        <f>IF(ISNUMBER($U186),$U186*$J186*Assumptions!$B$4,"NA")</f>
        <v/>
      </c>
      <c r="Y186" s="9">
        <f>IF(ISNUMBER($V186),$V186*$J186*Assumptions!$B$4,"NA")</f>
        <v/>
      </c>
    </row>
    <row r="187">
      <c r="A187" s="5" t="inlineStr">
        <is>
          <t>Austin Engineering</t>
        </is>
      </c>
      <c r="B187" s="11" t="inlineStr">
        <is>
          <t>Dump bodies/truck trays</t>
        </is>
      </c>
      <c r="C187" s="5" t="inlineStr">
        <is>
          <t>Austin Engineering USA Inc</t>
        </is>
      </c>
      <c r="D187" s="11" t="inlineStr">
        <is>
          <t>Parent/Affiliate</t>
        </is>
      </c>
      <c r="E187" s="5" t="inlineStr">
        <is>
          <t>United States</t>
        </is>
      </c>
      <c r="F187" s="5" t="n">
        <v>2023</v>
      </c>
      <c r="G187" s="5" t="n">
        <v>8</v>
      </c>
      <c r="H187" s="7" t="n">
        <v>86865</v>
      </c>
      <c r="I187" s="5" t="inlineStr">
        <is>
          <t>USD</t>
        </is>
      </c>
      <c r="J187" s="8">
        <f>IF($I187="AUD",Assumptions!$B$2,Assumptions!$B$3)</f>
        <v/>
      </c>
      <c r="K187" s="9">
        <f>$G187*$H187*$J187</f>
        <v/>
      </c>
      <c r="L187" s="9">
        <f>$K187*Assumptions!$B$4</f>
        <v/>
      </c>
      <c r="M187" s="9">
        <f>RawTx[[#This Row],[Value USD]]/RawTx[[#This Row],[Quantity]]</f>
        <v/>
      </c>
      <c r="N187" s="9">
        <f>RawTx[[#This Row],[Value IDR]]/RawTx[[#This Row],[Quantity]]</f>
        <v/>
      </c>
      <c r="O187" s="4" t="inlineStr">
        <is>
          <t>KOMATSU 930E TECK BODY TRUCK COMPONENT</t>
        </is>
      </c>
      <c r="P187" s="5" t="inlineStr">
        <is>
          <t>Komatsu</t>
        </is>
      </c>
      <c r="Q187" s="13" t="inlineStr">
        <is>
          <t>930E</t>
        </is>
      </c>
      <c r="R187" s="7" t="n">
        <v>126100</v>
      </c>
      <c r="S187" s="7">
        <f>IFERROR($R187/$G187,"")</f>
        <v/>
      </c>
      <c r="T187" s="7" t="inlineStr">
        <is>
          <t>NA</t>
        </is>
      </c>
      <c r="U187" s="7" t="inlineStr">
        <is>
          <t>NA</t>
        </is>
      </c>
      <c r="V187" s="7" t="inlineStr">
        <is>
          <t>NA</t>
        </is>
      </c>
      <c r="W187" s="9">
        <f>IF(ISNUMBER($T187),$T187*$J187*Assumptions!$B$4,"NA")</f>
        <v/>
      </c>
      <c r="X187" s="9">
        <f>IF(ISNUMBER($U187),$U187*$J187*Assumptions!$B$4,"NA")</f>
        <v/>
      </c>
      <c r="Y187" s="9">
        <f>IF(ISNUMBER($V187),$V187*$J187*Assumptions!$B$4,"NA")</f>
        <v/>
      </c>
    </row>
    <row r="188">
      <c r="A188" s="5" t="inlineStr">
        <is>
          <t>Austin Engineering</t>
        </is>
      </c>
      <c r="B188" s="11" t="inlineStr">
        <is>
          <t>Dump bodies/truck trays</t>
        </is>
      </c>
      <c r="C188" s="5" t="inlineStr">
        <is>
          <t>Austin Engineering USA Inc</t>
        </is>
      </c>
      <c r="D188" s="11" t="inlineStr">
        <is>
          <t>Parent/Affiliate</t>
        </is>
      </c>
      <c r="E188" s="5" t="inlineStr">
        <is>
          <t>United States</t>
        </is>
      </c>
      <c r="F188" s="5" t="n">
        <v>2023</v>
      </c>
      <c r="G188" s="5" t="n">
        <v>4</v>
      </c>
      <c r="H188" s="7" t="n">
        <v>172300</v>
      </c>
      <c r="I188" s="5" t="inlineStr">
        <is>
          <t>USD</t>
        </is>
      </c>
      <c r="J188" s="8">
        <f>IF($I188="AUD",Assumptions!$B$2,Assumptions!$B$3)</f>
        <v/>
      </c>
      <c r="K188" s="9">
        <f>$G188*$H188*$J188</f>
        <v/>
      </c>
      <c r="L188" s="9">
        <f>$K188*Assumptions!$B$4</f>
        <v/>
      </c>
      <c r="M188" s="9">
        <f>RawTx[[#This Row],[Value USD]]/RawTx[[#This Row],[Quantity]]</f>
        <v/>
      </c>
      <c r="N188" s="9">
        <f>RawTx[[#This Row],[Value IDR]]/RawTx[[#This Row],[Quantity]]</f>
        <v/>
      </c>
      <c r="O188" s="4" t="inlineStr">
        <is>
          <t>CAT 777F RED DOG BODY TRUCK</t>
        </is>
      </c>
      <c r="P188" s="5" t="inlineStr">
        <is>
          <t>Caterpillar</t>
        </is>
      </c>
      <c r="Q188" s="13" t="inlineStr">
        <is>
          <t>777F</t>
        </is>
      </c>
      <c r="R188" s="7" t="n">
        <v>92000</v>
      </c>
      <c r="S188" s="7">
        <f>IFERROR($R188/$G188,"")</f>
        <v/>
      </c>
      <c r="T188" s="7" t="n">
        <v>38388.4</v>
      </c>
      <c r="U188" s="7" t="n">
        <v>1637.07</v>
      </c>
      <c r="V188" s="7" t="n">
        <v>689200</v>
      </c>
      <c r="W188" s="9">
        <f>IF(ISNUMBER($T188),$T188*$J188*Assumptions!$B$4,"NA")</f>
        <v/>
      </c>
      <c r="X188" s="9">
        <f>IF(ISNUMBER($U188),$U188*$J188*Assumptions!$B$4,"NA")</f>
        <v/>
      </c>
      <c r="Y188" s="9">
        <f>IF(ISNUMBER($V188),$V188*$J188*Assumptions!$B$4,"NA")</f>
        <v/>
      </c>
    </row>
    <row r="189">
      <c r="A189" s="5" t="inlineStr">
        <is>
          <t>Austin Engineering</t>
        </is>
      </c>
      <c r="B189" s="11" t="inlineStr">
        <is>
          <t>Dump bodies/truck trays</t>
        </is>
      </c>
      <c r="C189" s="5" t="inlineStr">
        <is>
          <t>Tata Steel Limited</t>
        </is>
      </c>
      <c r="D189" s="5" t="inlineStr">
        <is>
          <t>Owner</t>
        </is>
      </c>
      <c r="E189" s="5" t="inlineStr">
        <is>
          <t>India</t>
        </is>
      </c>
      <c r="F189" s="5" t="n">
        <v>2023</v>
      </c>
      <c r="G189" s="5" t="n">
        <v>4</v>
      </c>
      <c r="H189" s="7" t="n">
        <v>91299</v>
      </c>
      <c r="I189" s="5" t="inlineStr">
        <is>
          <t>USD</t>
        </is>
      </c>
      <c r="J189" s="8">
        <f>IF($I189="AUD",Assumptions!$B$2,Assumptions!$B$3)</f>
        <v/>
      </c>
      <c r="K189" s="9">
        <f>$G189*$H189*$J189</f>
        <v/>
      </c>
      <c r="L189" s="9">
        <f>$K189*Assumptions!$B$4</f>
        <v/>
      </c>
      <c r="M189" s="9">
        <f>RawTx[[#This Row],[Value USD]]/RawTx[[#This Row],[Quantity]]</f>
        <v/>
      </c>
      <c r="N189" s="9">
        <f>RawTx[[#This Row],[Value IDR]]/RawTx[[#This Row],[Quantity]]</f>
        <v/>
      </c>
      <c r="O189" s="4" t="inlineStr">
        <is>
          <t>KOMATSU HD785-7 ULTIMA BODY TRUCK - 450BHN, GA17662</t>
        </is>
      </c>
      <c r="P189" s="5" t="inlineStr">
        <is>
          <t>Komatsu</t>
        </is>
      </c>
      <c r="Q189" s="13" t="inlineStr">
        <is>
          <t>HD785-7</t>
        </is>
      </c>
      <c r="R189" s="7" t="n">
        <v>57588</v>
      </c>
      <c r="S189" s="7">
        <f>IFERROR($R189/$G189,"")</f>
        <v/>
      </c>
      <c r="T189" s="7" t="inlineStr">
        <is>
          <t>NA</t>
        </is>
      </c>
      <c r="U189" s="7" t="inlineStr">
        <is>
          <t>NA</t>
        </is>
      </c>
      <c r="V189" s="7" t="inlineStr">
        <is>
          <t>NA</t>
        </is>
      </c>
      <c r="W189" s="9">
        <f>IF(ISNUMBER($T189),$T189*$J189*Assumptions!$B$4,"NA")</f>
        <v/>
      </c>
      <c r="X189" s="9">
        <f>IF(ISNUMBER($U189),$U189*$J189*Assumptions!$B$4,"NA")</f>
        <v/>
      </c>
      <c r="Y189" s="9">
        <f>IF(ISNUMBER($V189),$V189*$J189*Assumptions!$B$4,"NA")</f>
        <v/>
      </c>
    </row>
    <row r="190">
      <c r="A190" s="5" t="inlineStr">
        <is>
          <t>Austin Engineering</t>
        </is>
      </c>
      <c r="B190" s="11" t="inlineStr">
        <is>
          <t>Dump bodies/truck trays</t>
        </is>
      </c>
      <c r="C190" s="5" t="inlineStr">
        <is>
          <t>Tuprag Metal Madencilik</t>
        </is>
      </c>
      <c r="D190" s="5" t="inlineStr">
        <is>
          <t>Owner</t>
        </is>
      </c>
      <c r="E190" s="5" t="inlineStr">
        <is>
          <t>Turkey</t>
        </is>
      </c>
      <c r="F190" s="5" t="n">
        <v>2023</v>
      </c>
      <c r="G190" s="5" t="n">
        <v>8</v>
      </c>
      <c r="H190" s="7" t="n">
        <v>160635</v>
      </c>
      <c r="I190" s="5" t="inlineStr">
        <is>
          <t>USD</t>
        </is>
      </c>
      <c r="J190" s="8">
        <f>IF($I190="AUD",Assumptions!$B$2,Assumptions!$B$3)</f>
        <v/>
      </c>
      <c r="K190" s="9">
        <f>$G190*$H190*$J190</f>
        <v/>
      </c>
      <c r="L190" s="9">
        <f>$K190*Assumptions!$B$4</f>
        <v/>
      </c>
      <c r="M190" s="9">
        <f>RawTx[[#This Row],[Value USD]]/RawTx[[#This Row],[Quantity]]</f>
        <v/>
      </c>
      <c r="N190" s="9">
        <f>RawTx[[#This Row],[Value IDR]]/RawTx[[#This Row],[Quantity]]</f>
        <v/>
      </c>
      <c r="O190" s="4" t="inlineStr">
        <is>
          <t>CAT785C JEC TRUCK BODY C/W ACCESSORIES</t>
        </is>
      </c>
      <c r="P190" s="5" t="inlineStr">
        <is>
          <t>Caterpillar</t>
        </is>
      </c>
      <c r="Q190" s="13" t="inlineStr">
        <is>
          <t>785C</t>
        </is>
      </c>
      <c r="R190" s="7" t="n">
        <v>184000</v>
      </c>
      <c r="S190" s="7">
        <f>IFERROR($R190/$G190,"")</f>
        <v/>
      </c>
      <c r="T190" s="7" t="n">
        <v>26087.1</v>
      </c>
      <c r="U190" s="7" t="n">
        <v>2687.89</v>
      </c>
      <c r="V190" s="7" t="n">
        <v>1285080</v>
      </c>
      <c r="W190" s="9">
        <f>IF(ISNUMBER($T190),$T190*$J190*Assumptions!$B$4,"NA")</f>
        <v/>
      </c>
      <c r="X190" s="9">
        <f>IF(ISNUMBER($U190),$U190*$J190*Assumptions!$B$4,"NA")</f>
        <v/>
      </c>
      <c r="Y190" s="9">
        <f>IF(ISNUMBER($V190),$V190*$J190*Assumptions!$B$4,"NA")</f>
        <v/>
      </c>
    </row>
    <row r="191">
      <c r="A191" s="5" t="inlineStr">
        <is>
          <t>Austin Engineering</t>
        </is>
      </c>
      <c r="B191" s="11" t="inlineStr">
        <is>
          <t>Dump bodies/truck trays</t>
        </is>
      </c>
      <c r="C191" s="5" t="inlineStr">
        <is>
          <t>Tuprag Metal Madencilik</t>
        </is>
      </c>
      <c r="D191" s="5" t="inlineStr">
        <is>
          <t>Owner</t>
        </is>
      </c>
      <c r="E191" s="5" t="inlineStr">
        <is>
          <t>Turkey</t>
        </is>
      </c>
      <c r="F191" s="5" t="n">
        <v>2023</v>
      </c>
      <c r="G191" s="5" t="n">
        <v>1</v>
      </c>
      <c r="H191" s="7" t="n">
        <v>232635</v>
      </c>
      <c r="I191" s="5" t="inlineStr">
        <is>
          <t>USD</t>
        </is>
      </c>
      <c r="J191" s="8">
        <f>IF($I191="AUD",Assumptions!$B$2,Assumptions!$B$3)</f>
        <v/>
      </c>
      <c r="K191" s="9">
        <f>$G191*$H191*$J191</f>
        <v/>
      </c>
      <c r="L191" s="9">
        <f>$K191*Assumptions!$B$4</f>
        <v/>
      </c>
      <c r="M191" s="9">
        <f>RawTx[[#This Row],[Value USD]]/RawTx[[#This Row],[Quantity]]</f>
        <v/>
      </c>
      <c r="N191" s="9">
        <f>RawTx[[#This Row],[Value IDR]]/RawTx[[#This Row],[Quantity]]</f>
        <v/>
      </c>
      <c r="O191" s="4" t="inlineStr">
        <is>
          <t>EH4000AC-3 JEC TRUCK BODY C/W ACCESSORIES</t>
        </is>
      </c>
      <c r="P191" s="5" t="inlineStr">
        <is>
          <t>Hitachi</t>
        </is>
      </c>
      <c r="Q191" s="13" t="inlineStr">
        <is>
          <t>EH4000AC-3</t>
        </is>
      </c>
      <c r="R191" s="7" t="n">
        <v>32000</v>
      </c>
      <c r="S191" s="7">
        <f>IFERROR($R191/$G191,"")</f>
        <v/>
      </c>
      <c r="T191" s="7" t="n">
        <v>8367.049999999999</v>
      </c>
      <c r="U191" s="7" t="n">
        <v>862.1</v>
      </c>
      <c r="V191" s="7" t="n">
        <v>232635</v>
      </c>
      <c r="W191" s="9">
        <f>IF(ISNUMBER($T191),$T191*$J191*Assumptions!$B$4,"NA")</f>
        <v/>
      </c>
      <c r="X191" s="9">
        <f>IF(ISNUMBER($U191),$U191*$J191*Assumptions!$B$4,"NA")</f>
        <v/>
      </c>
      <c r="Y191" s="9">
        <f>IF(ISNUMBER($V191),$V191*$J191*Assumptions!$B$4,"NA")</f>
        <v/>
      </c>
    </row>
    <row r="192">
      <c r="A192" s="5" t="inlineStr">
        <is>
          <t>Austin Engineering</t>
        </is>
      </c>
      <c r="B192" s="11" t="inlineStr">
        <is>
          <t>Dump bodies/truck trays</t>
        </is>
      </c>
      <c r="C192" s="5" t="inlineStr">
        <is>
          <t>Tuprag Metal Madencilik</t>
        </is>
      </c>
      <c r="D192" s="5" t="inlineStr">
        <is>
          <t>Owner</t>
        </is>
      </c>
      <c r="E192" s="5" t="inlineStr">
        <is>
          <t>Turkey</t>
        </is>
      </c>
      <c r="F192" s="5" t="n">
        <v>2023</v>
      </c>
      <c r="G192" s="5" t="n">
        <v>1</v>
      </c>
      <c r="H192" s="7" t="n">
        <v>179535</v>
      </c>
      <c r="I192" s="5" t="inlineStr">
        <is>
          <t>USD</t>
        </is>
      </c>
      <c r="J192" s="8">
        <f>IF($I192="AUD",Assumptions!$B$2,Assumptions!$B$3)</f>
        <v/>
      </c>
      <c r="K192" s="9">
        <f>$G192*$H192*$J192</f>
        <v/>
      </c>
      <c r="L192" s="9">
        <f>$K192*Assumptions!$B$4</f>
        <v/>
      </c>
      <c r="M192" s="9">
        <f>RawTx[[#This Row],[Value USD]]/RawTx[[#This Row],[Quantity]]</f>
        <v/>
      </c>
      <c r="N192" s="9">
        <f>RawTx[[#This Row],[Value IDR]]/RawTx[[#This Row],[Quantity]]</f>
        <v/>
      </c>
      <c r="O192" s="4" t="inlineStr">
        <is>
          <t>CAT785C JEC TRUCK BODY C/W ACCESSORIES</t>
        </is>
      </c>
      <c r="P192" s="5" t="inlineStr">
        <is>
          <t>Caterpillar</t>
        </is>
      </c>
      <c r="Q192" s="13" t="inlineStr">
        <is>
          <t>785C</t>
        </is>
      </c>
      <c r="R192" s="7" t="n">
        <v>23000</v>
      </c>
      <c r="S192" s="7">
        <f>IFERROR($R192/$G192,"")</f>
        <v/>
      </c>
      <c r="T192" s="7" t="n">
        <v>8367.049999999999</v>
      </c>
      <c r="U192" s="7" t="n">
        <v>862.1</v>
      </c>
      <c r="V192" s="7" t="n">
        <v>179535</v>
      </c>
      <c r="W192" s="9">
        <f>IF(ISNUMBER($T192),$T192*$J192*Assumptions!$B$4,"NA")</f>
        <v/>
      </c>
      <c r="X192" s="9">
        <f>IF(ISNUMBER($U192),$U192*$J192*Assumptions!$B$4,"NA")</f>
        <v/>
      </c>
      <c r="Y192" s="9">
        <f>IF(ISNUMBER($V192),$V192*$J192*Assumptions!$B$4,"NA")</f>
        <v/>
      </c>
    </row>
    <row r="193">
      <c r="A193" s="5" t="inlineStr">
        <is>
          <t>Austin Engineering</t>
        </is>
      </c>
      <c r="B193" s="5" t="inlineStr">
        <is>
          <t>Underground bodies</t>
        </is>
      </c>
      <c r="C193" s="5" t="inlineStr">
        <is>
          <t>Austin Engineering Limited</t>
        </is>
      </c>
      <c r="D193" s="11" t="inlineStr">
        <is>
          <t>Parent/Affiliate</t>
        </is>
      </c>
      <c r="E193" s="5" t="inlineStr">
        <is>
          <t>Australia</t>
        </is>
      </c>
      <c r="F193" s="5" t="n">
        <v>2023</v>
      </c>
      <c r="G193" s="5" t="n">
        <v>1</v>
      </c>
      <c r="H193" s="7" t="n">
        <v>92219.2</v>
      </c>
      <c r="I193" s="5" t="inlineStr">
        <is>
          <t>AUD</t>
        </is>
      </c>
      <c r="J193" s="8">
        <f>IF($I193="AUD",Assumptions!$B$2,Assumptions!$B$3)</f>
        <v/>
      </c>
      <c r="K193" s="9">
        <f>$G193*$H193*$J193</f>
        <v/>
      </c>
      <c r="L193" s="9">
        <f>$K193*Assumptions!$B$4</f>
        <v/>
      </c>
      <c r="M193" s="9">
        <f>RawTx[[#This Row],[Value USD]]/RawTx[[#This Row],[Quantity]]</f>
        <v/>
      </c>
      <c r="N193" s="9">
        <f>RawTx[[#This Row],[Value IDR]]/RawTx[[#This Row],[Quantity]]</f>
        <v/>
      </c>
      <c r="O193" s="4" t="inlineStr">
        <is>
          <t>SANVIK TH663I UNDERGORUND BODY TRUCK</t>
        </is>
      </c>
      <c r="P193" s="5" t="inlineStr">
        <is>
          <t>Sandvik</t>
        </is>
      </c>
      <c r="Q193" s="13" t="inlineStr">
        <is>
          <t>TH663i</t>
        </is>
      </c>
      <c r="R193" s="7" t="n">
        <v>11000</v>
      </c>
      <c r="S193" s="7">
        <f>IFERROR($R193/$G193,"")</f>
        <v/>
      </c>
      <c r="T193" s="7" t="n">
        <v>2837.53</v>
      </c>
      <c r="U193" s="7" t="n">
        <v>292.37</v>
      </c>
      <c r="V193" s="7" t="n">
        <v>139780</v>
      </c>
      <c r="W193" s="9">
        <f>IF(ISNUMBER($T193),$T193*$J193*Assumptions!$B$4,"NA")</f>
        <v/>
      </c>
      <c r="X193" s="9">
        <f>IF(ISNUMBER($U193),$U193*$J193*Assumptions!$B$4,"NA")</f>
        <v/>
      </c>
      <c r="Y193" s="9">
        <f>IF(ISNUMBER($V193),$V193*$J193*Assumptions!$B$4,"NA")</f>
        <v/>
      </c>
    </row>
    <row r="194">
      <c r="A194" s="5" t="inlineStr">
        <is>
          <t>Vector Engineering</t>
        </is>
      </c>
      <c r="B194" s="11" t="inlineStr">
        <is>
          <t>Cabins</t>
        </is>
      </c>
      <c r="C194" s="5" t="inlineStr">
        <is>
          <t>Phu Bia Mining Limited</t>
        </is>
      </c>
      <c r="D194" s="5" t="inlineStr">
        <is>
          <t>Owner</t>
        </is>
      </c>
      <c r="E194" s="5" t="inlineStr">
        <is>
          <t>Lao PDR</t>
        </is>
      </c>
      <c r="F194" s="5" t="n">
        <v>2026</v>
      </c>
      <c r="G194" s="5" t="n">
        <v>1</v>
      </c>
      <c r="H194" s="7" t="n">
        <v>19479</v>
      </c>
      <c r="I194" s="5" t="inlineStr">
        <is>
          <t>USD</t>
        </is>
      </c>
      <c r="J194" s="8">
        <f>IF($I194="AUD",Assumptions!$B$2,Assumptions!$B$3)</f>
        <v/>
      </c>
      <c r="K194" s="9">
        <f>$G194*$H194*$J194</f>
        <v/>
      </c>
      <c r="L194" s="9">
        <f>$K194*Assumptions!$B$4</f>
        <v/>
      </c>
      <c r="M194" s="9">
        <f>RawTx[[#This Row],[Value USD]]/RawTx[[#This Row],[Quantity]]</f>
        <v/>
      </c>
      <c r="N194" s="9">
        <f>RawTx[[#This Row],[Value IDR]]/RawTx[[#This Row],[Quantity]]</f>
        <v/>
      </c>
      <c r="O194" s="4" t="inlineStr">
        <is>
          <t>777D CAB, VEH, 167-4450, ROPS , PO#4500531451 VERSION 1</t>
        </is>
      </c>
      <c r="P194" s="5" t="inlineStr">
        <is>
          <t>Caterpillar</t>
        </is>
      </c>
      <c r="Q194" s="13" t="inlineStr">
        <is>
          <t>777D</t>
        </is>
      </c>
      <c r="R194" s="7" t="n">
        <v>1500</v>
      </c>
      <c r="S194" s="7">
        <f>IFERROR($R194/$G194,"")</f>
        <v/>
      </c>
      <c r="T194" s="7" t="inlineStr">
        <is>
          <t>NA</t>
        </is>
      </c>
      <c r="U194" s="7" t="inlineStr">
        <is>
          <t>NA</t>
        </is>
      </c>
      <c r="V194" s="7" t="inlineStr">
        <is>
          <t>NA</t>
        </is>
      </c>
      <c r="W194" s="9">
        <f>IF(ISNUMBER($T194),$T194*$J194*Assumptions!$B$4,"NA")</f>
        <v/>
      </c>
      <c r="X194" s="9">
        <f>IF(ISNUMBER($U194),$U194*$J194*Assumptions!$B$4,"NA")</f>
        <v/>
      </c>
      <c r="Y194" s="9">
        <f>IF(ISNUMBER($V194),$V194*$J194*Assumptions!$B$4,"NA")</f>
        <v/>
      </c>
    </row>
    <row r="195">
      <c r="A195" s="5" t="inlineStr">
        <is>
          <t>Vector Engineering</t>
        </is>
      </c>
      <c r="B195" s="11" t="inlineStr">
        <is>
          <t>Cabins</t>
        </is>
      </c>
      <c r="C195" s="5" t="inlineStr">
        <is>
          <t>Phu Bia Mining Limited</t>
        </is>
      </c>
      <c r="D195" s="5" t="inlineStr">
        <is>
          <t>Owner</t>
        </is>
      </c>
      <c r="E195" s="5" t="inlineStr">
        <is>
          <t>Lao PDR</t>
        </is>
      </c>
      <c r="F195" s="5" t="n">
        <v>2026</v>
      </c>
      <c r="G195" s="5" t="n">
        <v>3</v>
      </c>
      <c r="H195" s="7" t="n">
        <v>19985</v>
      </c>
      <c r="I195" s="5" t="inlineStr">
        <is>
          <t>USD</t>
        </is>
      </c>
      <c r="J195" s="8">
        <f>IF($I195="AUD",Assumptions!$B$2,Assumptions!$B$3)</f>
        <v/>
      </c>
      <c r="K195" s="9">
        <f>$G195*$H195*$J195</f>
        <v/>
      </c>
      <c r="L195" s="9">
        <f>$K195*Assumptions!$B$4</f>
        <v/>
      </c>
      <c r="M195" s="9">
        <f>RawTx[[#This Row],[Value USD]]/RawTx[[#This Row],[Quantity]]</f>
        <v/>
      </c>
      <c r="N195" s="9">
        <f>RawTx[[#This Row],[Value IDR]]/RawTx[[#This Row],[Quantity]]</f>
        <v/>
      </c>
      <c r="O195" s="4" t="inlineStr">
        <is>
          <t>777D CAB, VEH, 167-4450, ROPSPO#4500515267 VERSION 1</t>
        </is>
      </c>
      <c r="P195" s="5" t="inlineStr">
        <is>
          <t>Caterpillar</t>
        </is>
      </c>
      <c r="Q195" s="13" t="inlineStr">
        <is>
          <t>777D</t>
        </is>
      </c>
      <c r="R195" s="7" t="n">
        <v>4500</v>
      </c>
      <c r="S195" s="7">
        <f>IFERROR($R195/$G195,"")</f>
        <v/>
      </c>
      <c r="T195" s="7" t="inlineStr">
        <is>
          <t>NA</t>
        </is>
      </c>
      <c r="U195" s="7" t="inlineStr">
        <is>
          <t>NA</t>
        </is>
      </c>
      <c r="V195" s="7" t="inlineStr">
        <is>
          <t>NA</t>
        </is>
      </c>
      <c r="W195" s="9">
        <f>IF(ISNUMBER($T195),$T195*$J195*Assumptions!$B$4,"NA")</f>
        <v/>
      </c>
      <c r="X195" s="9">
        <f>IF(ISNUMBER($U195),$U195*$J195*Assumptions!$B$4,"NA")</f>
        <v/>
      </c>
      <c r="Y195" s="9">
        <f>IF(ISNUMBER($V195),$V195*$J195*Assumptions!$B$4,"NA")</f>
        <v/>
      </c>
    </row>
    <row r="196">
      <c r="A196" s="5" t="inlineStr">
        <is>
          <t>Vector Engineering</t>
        </is>
      </c>
      <c r="B196" s="11" t="inlineStr">
        <is>
          <t>Dump bodies/truck trays</t>
        </is>
      </c>
      <c r="C196" s="5" t="inlineStr">
        <is>
          <t>Duratray International Pty Ltd</t>
        </is>
      </c>
      <c r="D196" s="11" t="inlineStr">
        <is>
          <t>Parent/Affiliate</t>
        </is>
      </c>
      <c r="E196" s="5" t="inlineStr">
        <is>
          <t>Australia</t>
        </is>
      </c>
      <c r="F196" s="5" t="n">
        <v>2026</v>
      </c>
      <c r="G196" s="5" t="n">
        <v>1</v>
      </c>
      <c r="H196" s="7" t="n">
        <v>195675</v>
      </c>
      <c r="I196" s="5" t="inlineStr">
        <is>
          <t>USD</t>
        </is>
      </c>
      <c r="J196" s="8">
        <f>IF($I196="AUD",Assumptions!$B$2,Assumptions!$B$3)</f>
        <v/>
      </c>
      <c r="K196" s="9">
        <f>$G196*$H196*$J196</f>
        <v/>
      </c>
      <c r="L196" s="9">
        <f>$K196*Assumptions!$B$4</f>
        <v/>
      </c>
      <c r="M196" s="9">
        <f>RawTx[[#This Row],[Value USD]]/RawTx[[#This Row],[Quantity]]</f>
        <v/>
      </c>
      <c r="N196" s="9">
        <f>RawTx[[#This Row],[Value IDR]]/RawTx[[#This Row],[Quantity]]</f>
        <v/>
      </c>
      <c r="O196" s="4" t="inlineStr">
        <is>
          <t>FABRICATE CAT785 ULTRA TRUCK BODIES, C/W RUBBER MUD FL...</t>
        </is>
      </c>
      <c r="P196" s="5" t="inlineStr">
        <is>
          <t>Caterpillar</t>
        </is>
      </c>
      <c r="Q196" s="13" t="n">
        <v>785</v>
      </c>
      <c r="R196" s="7" t="n">
        <v>25616</v>
      </c>
      <c r="S196" s="7">
        <f>IFERROR($R196/$G196,"")</f>
        <v/>
      </c>
      <c r="T196" s="7" t="n">
        <v>0</v>
      </c>
      <c r="U196" s="7" t="n">
        <v>0</v>
      </c>
      <c r="V196" s="7" t="n">
        <v>195675</v>
      </c>
      <c r="W196" s="9">
        <f>IF(ISNUMBER($T196),$T196*$J196*Assumptions!$B$4,"NA")</f>
        <v/>
      </c>
      <c r="X196" s="9">
        <f>IF(ISNUMBER($U196),$U196*$J196*Assumptions!$B$4,"NA")</f>
        <v/>
      </c>
      <c r="Y196" s="9">
        <f>IF(ISNUMBER($V196),$V196*$J196*Assumptions!$B$4,"NA")</f>
        <v/>
      </c>
    </row>
    <row r="197">
      <c r="A197" s="5" t="inlineStr">
        <is>
          <t>Vector Engineering</t>
        </is>
      </c>
      <c r="B197" s="11" t="inlineStr">
        <is>
          <t>Dump bodies/truck trays</t>
        </is>
      </c>
      <c r="C197" s="5" t="inlineStr">
        <is>
          <t>Quad Efficient Engineering Pty Limited</t>
        </is>
      </c>
      <c r="D197" s="11" t="inlineStr">
        <is>
          <t>Fabricator</t>
        </is>
      </c>
      <c r="E197" s="5" t="inlineStr">
        <is>
          <t>Australia</t>
        </is>
      </c>
      <c r="F197" s="5" t="n">
        <v>2026</v>
      </c>
      <c r="G197" s="5" t="n">
        <v>1</v>
      </c>
      <c r="H197" s="7" t="n">
        <v>245950</v>
      </c>
      <c r="I197" s="5" t="inlineStr">
        <is>
          <t>USD</t>
        </is>
      </c>
      <c r="J197" s="8">
        <f>IF($I197="AUD",Assumptions!$B$2,Assumptions!$B$3)</f>
        <v/>
      </c>
      <c r="K197" s="9">
        <f>$G197*$H197*$J197</f>
        <v/>
      </c>
      <c r="L197" s="9">
        <f>$K197*Assumptions!$B$4</f>
        <v/>
      </c>
      <c r="M197" s="9">
        <f>RawTx[[#This Row],[Value USD]]/RawTx[[#This Row],[Quantity]]</f>
        <v/>
      </c>
      <c r="N197" s="9">
        <f>RawTx[[#This Row],[Value IDR]]/RawTx[[#This Row],[Quantity]]</f>
        <v/>
      </c>
      <c r="O197" s="4" t="inlineStr">
        <is>
          <t>CAT785 TRUCK BODIES C/W RUBBER MUD FLAPS &amp; DECALS</t>
        </is>
      </c>
      <c r="P197" s="5" t="inlineStr">
        <is>
          <t>Caterpillar</t>
        </is>
      </c>
      <c r="Q197" s="13" t="n">
        <v>785</v>
      </c>
      <c r="R197" s="7" t="n">
        <v>34946</v>
      </c>
      <c r="S197" s="7">
        <f>IFERROR($R197/$G197,"")</f>
        <v/>
      </c>
      <c r="T197" s="7" t="n">
        <v>0</v>
      </c>
      <c r="U197" s="7" t="n">
        <v>0</v>
      </c>
      <c r="V197" s="7" t="n">
        <v>245950</v>
      </c>
      <c r="W197" s="9">
        <f>IF(ISNUMBER($T197),$T197*$J197*Assumptions!$B$4,"NA")</f>
        <v/>
      </c>
      <c r="X197" s="9">
        <f>IF(ISNUMBER($U197),$U197*$J197*Assumptions!$B$4,"NA")</f>
        <v/>
      </c>
      <c r="Y197" s="9">
        <f>IF(ISNUMBER($V197),$V197*$J197*Assumptions!$B$4,"NA")</f>
        <v/>
      </c>
    </row>
    <row r="198">
      <c r="A198" s="5" t="inlineStr">
        <is>
          <t>Vector Engineering</t>
        </is>
      </c>
      <c r="B198" s="11" t="inlineStr">
        <is>
          <t>Dump bodies/truck trays</t>
        </is>
      </c>
      <c r="C198" s="5" t="inlineStr">
        <is>
          <t>Quad Efficient Engineering Pty Limited</t>
        </is>
      </c>
      <c r="D198" s="11" t="inlineStr">
        <is>
          <t>Fabricator</t>
        </is>
      </c>
      <c r="E198" s="5" t="inlineStr">
        <is>
          <t>Australia</t>
        </is>
      </c>
      <c r="F198" s="5" t="n">
        <v>2026</v>
      </c>
      <c r="G198" s="5" t="n">
        <v>2</v>
      </c>
      <c r="H198" s="7" t="n">
        <v>122975</v>
      </c>
      <c r="I198" s="5" t="inlineStr">
        <is>
          <t>USD</t>
        </is>
      </c>
      <c r="J198" s="8">
        <f>IF($I198="AUD",Assumptions!$B$2,Assumptions!$B$3)</f>
        <v/>
      </c>
      <c r="K198" s="9">
        <f>$G198*$H198*$J198</f>
        <v/>
      </c>
      <c r="L198" s="9">
        <f>$K198*Assumptions!$B$4</f>
        <v/>
      </c>
      <c r="M198" s="9">
        <f>RawTx[[#This Row],[Value USD]]/RawTx[[#This Row],[Quantity]]</f>
        <v/>
      </c>
      <c r="N198" s="9">
        <f>RawTx[[#This Row],[Value IDR]]/RawTx[[#This Row],[Quantity]]</f>
        <v/>
      </c>
      <c r="O198" s="4" t="inlineStr">
        <is>
          <t>CAT785 TRUCK BODIES C/W RUBBER MUD FLAPS &amp; DECALS</t>
        </is>
      </c>
      <c r="P198" s="5" t="inlineStr">
        <is>
          <t>Caterpillar</t>
        </is>
      </c>
      <c r="Q198" s="13" t="n">
        <v>785</v>
      </c>
      <c r="R198" s="7" t="n">
        <v>34946</v>
      </c>
      <c r="S198" s="7">
        <f>IFERROR($R198/$G198,"")</f>
        <v/>
      </c>
      <c r="T198" s="7" t="n">
        <v>0</v>
      </c>
      <c r="U198" s="7" t="n">
        <v>0</v>
      </c>
      <c r="V198" s="7" t="n">
        <v>245950</v>
      </c>
      <c r="W198" s="9">
        <f>IF(ISNUMBER($T198),$T198*$J198*Assumptions!$B$4,"NA")</f>
        <v/>
      </c>
      <c r="X198" s="9">
        <f>IF(ISNUMBER($U198),$U198*$J198*Assumptions!$B$4,"NA")</f>
        <v/>
      </c>
      <c r="Y198" s="9">
        <f>IF(ISNUMBER($V198),$V198*$J198*Assumptions!$B$4,"NA")</f>
        <v/>
      </c>
    </row>
    <row r="199">
      <c r="A199" s="5" t="inlineStr">
        <is>
          <t>Vector Engineering</t>
        </is>
      </c>
      <c r="B199" s="5" t="inlineStr">
        <is>
          <t>Frame kits</t>
        </is>
      </c>
      <c r="C199" s="5" t="inlineStr">
        <is>
          <t>Duratray International Pty Ltd</t>
        </is>
      </c>
      <c r="D199" s="11" t="inlineStr">
        <is>
          <t>Parent/Affiliate</t>
        </is>
      </c>
      <c r="E199" s="5" t="inlineStr">
        <is>
          <t>Australia</t>
        </is>
      </c>
      <c r="F199" s="5" t="n">
        <v>2026</v>
      </c>
      <c r="G199" s="5" t="n">
        <v>1</v>
      </c>
      <c r="H199" s="7" t="n">
        <v>135245</v>
      </c>
      <c r="I199" s="5" t="inlineStr">
        <is>
          <t>USD</t>
        </is>
      </c>
      <c r="J199" s="8">
        <f>IF($I199="AUD",Assumptions!$B$2,Assumptions!$B$3)</f>
        <v/>
      </c>
      <c r="K199" s="9">
        <f>$G199*$H199*$J199</f>
        <v/>
      </c>
      <c r="L199" s="9">
        <f>$K199*Assumptions!$B$4</f>
        <v/>
      </c>
      <c r="M199" s="9">
        <f>RawTx[[#This Row],[Value USD]]/RawTx[[#This Row],[Quantity]]</f>
        <v/>
      </c>
      <c r="N199" s="9">
        <f>RawTx[[#This Row],[Value IDR]]/RawTx[[#This Row],[Quantity]]</f>
        <v/>
      </c>
      <c r="O199" s="4" t="inlineStr">
        <is>
          <t>SDB FRAME KIT CAT785 BEAMS</t>
        </is>
      </c>
      <c r="P199" s="5" t="inlineStr">
        <is>
          <t>Caterpillar</t>
        </is>
      </c>
      <c r="Q199" s="13" t="n">
        <v>785</v>
      </c>
      <c r="R199" s="7" t="n">
        <v>18912</v>
      </c>
      <c r="S199" s="7">
        <f>IFERROR($R199/$G199,"")</f>
        <v/>
      </c>
      <c r="T199" s="7" t="n">
        <v>0</v>
      </c>
      <c r="U199" s="7" t="n">
        <v>0</v>
      </c>
      <c r="V199" s="7" t="n">
        <v>135245</v>
      </c>
      <c r="W199" s="9">
        <f>IF(ISNUMBER($T199),$T199*$J199*Assumptions!$B$4,"NA")</f>
        <v/>
      </c>
      <c r="X199" s="9">
        <f>IF(ISNUMBER($U199),$U199*$J199*Assumptions!$B$4,"NA")</f>
        <v/>
      </c>
      <c r="Y199" s="9">
        <f>IF(ISNUMBER($V199),$V199*$J199*Assumptions!$B$4,"NA")</f>
        <v/>
      </c>
    </row>
    <row r="200">
      <c r="A200" s="5" t="inlineStr">
        <is>
          <t>Vector Engineering</t>
        </is>
      </c>
      <c r="B200" s="5" t="inlineStr">
        <is>
          <t>Frame kits</t>
        </is>
      </c>
      <c r="C200" s="5" t="inlineStr">
        <is>
          <t>Duratray International Pty Ltd</t>
        </is>
      </c>
      <c r="D200" s="11" t="inlineStr">
        <is>
          <t>Parent/Affiliate</t>
        </is>
      </c>
      <c r="E200" s="5" t="inlineStr">
        <is>
          <t>Australia</t>
        </is>
      </c>
      <c r="F200" s="5" t="n">
        <v>2025</v>
      </c>
      <c r="G200" s="5" t="n">
        <v>1</v>
      </c>
      <c r="H200" s="7" t="n">
        <v>135245</v>
      </c>
      <c r="I200" s="5" t="inlineStr">
        <is>
          <t>USD</t>
        </is>
      </c>
      <c r="J200" s="8">
        <f>IF($I200="AUD",Assumptions!$B$2,Assumptions!$B$3)</f>
        <v/>
      </c>
      <c r="K200" s="9">
        <f>$G200*$H200*$J200</f>
        <v/>
      </c>
      <c r="L200" s="9">
        <f>$K200*Assumptions!$B$4</f>
        <v/>
      </c>
      <c r="M200" s="9">
        <f>RawTx[[#This Row],[Value USD]]/RawTx[[#This Row],[Quantity]]</f>
        <v/>
      </c>
      <c r="N200" s="9">
        <f>RawTx[[#This Row],[Value IDR]]/RawTx[[#This Row],[Quantity]]</f>
        <v/>
      </c>
      <c r="O200" s="4" t="inlineStr">
        <is>
          <t>SDB FRAME KIT CAT785 BEAMS</t>
        </is>
      </c>
      <c r="P200" s="5" t="inlineStr">
        <is>
          <t>Caterpillar</t>
        </is>
      </c>
      <c r="Q200" s="13" t="n">
        <v>785</v>
      </c>
      <c r="R200" s="7" t="n">
        <v>18912</v>
      </c>
      <c r="S200" s="7">
        <f>IFERROR($R200/$G200,"")</f>
        <v/>
      </c>
      <c r="T200" s="7" t="n">
        <v>0</v>
      </c>
      <c r="U200" s="7" t="n">
        <v>0</v>
      </c>
      <c r="V200" s="7" t="n">
        <v>135245</v>
      </c>
      <c r="W200" s="9">
        <f>IF(ISNUMBER($T200),$T200*$J200*Assumptions!$B$4,"NA")</f>
        <v/>
      </c>
      <c r="X200" s="9">
        <f>IF(ISNUMBER($U200),$U200*$J200*Assumptions!$B$4,"NA")</f>
        <v/>
      </c>
      <c r="Y200" s="9">
        <f>IF(ISNUMBER($V200),$V200*$J200*Assumptions!$B$4,"NA")</f>
        <v/>
      </c>
    </row>
    <row r="201">
      <c r="A201" s="5" t="inlineStr">
        <is>
          <t>Vector Engineering</t>
        </is>
      </c>
      <c r="B201" s="5" t="inlineStr">
        <is>
          <t>Frame kits</t>
        </is>
      </c>
      <c r="C201" s="5" t="inlineStr">
        <is>
          <t>Duratray International Pty Ltd</t>
        </is>
      </c>
      <c r="D201" s="11" t="inlineStr">
        <is>
          <t>Parent/Affiliate</t>
        </is>
      </c>
      <c r="E201" s="5" t="inlineStr">
        <is>
          <t>Australia</t>
        </is>
      </c>
      <c r="F201" s="5" t="n">
        <v>2025</v>
      </c>
      <c r="G201" s="5" t="n">
        <v>1</v>
      </c>
      <c r="H201" s="7" t="n">
        <v>135245</v>
      </c>
      <c r="I201" s="5" t="inlineStr">
        <is>
          <t>USD</t>
        </is>
      </c>
      <c r="J201" s="8">
        <f>IF($I201="AUD",Assumptions!$B$2,Assumptions!$B$3)</f>
        <v/>
      </c>
      <c r="K201" s="9">
        <f>$G201*$H201*$J201</f>
        <v/>
      </c>
      <c r="L201" s="9">
        <f>$K201*Assumptions!$B$4</f>
        <v/>
      </c>
      <c r="M201" s="9">
        <f>RawTx[[#This Row],[Value USD]]/RawTx[[#This Row],[Quantity]]</f>
        <v/>
      </c>
      <c r="N201" s="9">
        <f>RawTx[[#This Row],[Value IDR]]/RawTx[[#This Row],[Quantity]]</f>
        <v/>
      </c>
      <c r="O201" s="4" t="inlineStr">
        <is>
          <t>SDB FRAME KIT CAT785 BEAMS</t>
        </is>
      </c>
      <c r="P201" s="5" t="inlineStr">
        <is>
          <t>Caterpillar</t>
        </is>
      </c>
      <c r="Q201" s="13" t="n">
        <v>785</v>
      </c>
      <c r="R201" s="7" t="n">
        <v>19062</v>
      </c>
      <c r="S201" s="7">
        <f>IFERROR($R201/$G201,"")</f>
        <v/>
      </c>
      <c r="T201" s="7" t="n">
        <v>0</v>
      </c>
      <c r="U201" s="7" t="n">
        <v>0</v>
      </c>
      <c r="V201" s="7" t="n">
        <v>135245</v>
      </c>
      <c r="W201" s="9">
        <f>IF(ISNUMBER($T201),$T201*$J201*Assumptions!$B$4,"NA")</f>
        <v/>
      </c>
      <c r="X201" s="9">
        <f>IF(ISNUMBER($U201),$U201*$J201*Assumptions!$B$4,"NA")</f>
        <v/>
      </c>
      <c r="Y201" s="9">
        <f>IF(ISNUMBER($V201),$V201*$J201*Assumptions!$B$4,"NA")</f>
        <v/>
      </c>
    </row>
    <row r="202">
      <c r="A202" s="5" t="inlineStr">
        <is>
          <t>Vector Engineering</t>
        </is>
      </c>
      <c r="B202" s="11" t="inlineStr">
        <is>
          <t>Cabins</t>
        </is>
      </c>
      <c r="C202" s="5" t="inlineStr">
        <is>
          <t>Phu Bia Mining Limited</t>
        </is>
      </c>
      <c r="D202" s="5" t="inlineStr">
        <is>
          <t>Owner</t>
        </is>
      </c>
      <c r="E202" s="5" t="inlineStr">
        <is>
          <t>Lao PDR</t>
        </is>
      </c>
      <c r="F202" s="5" t="n">
        <v>2025</v>
      </c>
      <c r="G202" s="5" t="n">
        <v>1</v>
      </c>
      <c r="H202" s="7" t="n">
        <v>19700</v>
      </c>
      <c r="I202" s="5" t="inlineStr">
        <is>
          <t>USD</t>
        </is>
      </c>
      <c r="J202" s="8">
        <f>IF($I202="AUD",Assumptions!$B$2,Assumptions!$B$3)</f>
        <v/>
      </c>
      <c r="K202" s="9">
        <f>$G202*$H202*$J202</f>
        <v/>
      </c>
      <c r="L202" s="9">
        <f>$K202*Assumptions!$B$4</f>
        <v/>
      </c>
      <c r="M202" s="9">
        <f>RawTx[[#This Row],[Value USD]]/RawTx[[#This Row],[Quantity]]</f>
        <v/>
      </c>
      <c r="N202" s="9">
        <f>RawTx[[#This Row],[Value IDR]]/RawTx[[#This Row],[Quantity]]</f>
        <v/>
      </c>
      <c r="O202" s="4" t="inlineStr">
        <is>
          <t>777D CAB, VEH,167-4450, ROPS</t>
        </is>
      </c>
      <c r="P202" s="5" t="inlineStr">
        <is>
          <t>Caterpillar</t>
        </is>
      </c>
      <c r="Q202" s="13" t="inlineStr">
        <is>
          <t>777D</t>
        </is>
      </c>
      <c r="R202" s="7" t="n">
        <v>1500</v>
      </c>
      <c r="S202" s="7">
        <f>IFERROR($R202/$G202,"")</f>
        <v/>
      </c>
      <c r="T202" s="7" t="inlineStr">
        <is>
          <t>NA</t>
        </is>
      </c>
      <c r="U202" s="7" t="inlineStr">
        <is>
          <t>NA</t>
        </is>
      </c>
      <c r="V202" s="7" t="inlineStr">
        <is>
          <t>NA</t>
        </is>
      </c>
      <c r="W202" s="9">
        <f>IF(ISNUMBER($T202),$T202*$J202*Assumptions!$B$4,"NA")</f>
        <v/>
      </c>
      <c r="X202" s="9">
        <f>IF(ISNUMBER($U202),$U202*$J202*Assumptions!$B$4,"NA")</f>
        <v/>
      </c>
      <c r="Y202" s="9">
        <f>IF(ISNUMBER($V202),$V202*$J202*Assumptions!$B$4,"NA")</f>
        <v/>
      </c>
    </row>
    <row r="203">
      <c r="A203" s="5" t="inlineStr">
        <is>
          <t>Vector Engineering</t>
        </is>
      </c>
      <c r="B203" s="11" t="inlineStr">
        <is>
          <t>Cabins</t>
        </is>
      </c>
      <c r="C203" s="5" t="inlineStr">
        <is>
          <t>Phu Bia Mining Limited</t>
        </is>
      </c>
      <c r="D203" s="5" t="inlineStr">
        <is>
          <t>Owner</t>
        </is>
      </c>
      <c r="E203" s="5" t="inlineStr">
        <is>
          <t>Lao PDR</t>
        </is>
      </c>
      <c r="F203" s="5" t="n">
        <v>2025</v>
      </c>
      <c r="G203" s="5" t="n">
        <v>1</v>
      </c>
      <c r="H203" s="7" t="n">
        <v>19700</v>
      </c>
      <c r="I203" s="5" t="inlineStr">
        <is>
          <t>USD</t>
        </is>
      </c>
      <c r="J203" s="8">
        <f>IF($I203="AUD",Assumptions!$B$2,Assumptions!$B$3)</f>
        <v/>
      </c>
      <c r="K203" s="9">
        <f>$G203*$H203*$J203</f>
        <v/>
      </c>
      <c r="L203" s="9">
        <f>$K203*Assumptions!$B$4</f>
        <v/>
      </c>
      <c r="M203" s="9">
        <f>RawTx[[#This Row],[Value USD]]/RawTx[[#This Row],[Quantity]]</f>
        <v/>
      </c>
      <c r="N203" s="9">
        <f>RawTx[[#This Row],[Value IDR]]/RawTx[[#This Row],[Quantity]]</f>
        <v/>
      </c>
      <c r="O203" s="4" t="inlineStr">
        <is>
          <t>CABIN CAT 777D</t>
        </is>
      </c>
      <c r="P203" s="5" t="inlineStr">
        <is>
          <t>Caterpillar</t>
        </is>
      </c>
      <c r="Q203" s="13" t="inlineStr">
        <is>
          <t>777D</t>
        </is>
      </c>
      <c r="R203" s="7" t="n">
        <v>813</v>
      </c>
      <c r="S203" s="7">
        <f>IFERROR($R203/$G203,"")</f>
        <v/>
      </c>
      <c r="T203" s="7" t="inlineStr">
        <is>
          <t>NA</t>
        </is>
      </c>
      <c r="U203" s="7" t="inlineStr">
        <is>
          <t>NA</t>
        </is>
      </c>
      <c r="V203" s="7" t="inlineStr">
        <is>
          <t>NA</t>
        </is>
      </c>
      <c r="W203" s="9">
        <f>IF(ISNUMBER($T203),$T203*$J203*Assumptions!$B$4,"NA")</f>
        <v/>
      </c>
      <c r="X203" s="9">
        <f>IF(ISNUMBER($U203),$U203*$J203*Assumptions!$B$4,"NA")</f>
        <v/>
      </c>
      <c r="Y203" s="9">
        <f>IF(ISNUMBER($V203),$V203*$J203*Assumptions!$B$4,"NA")</f>
        <v/>
      </c>
    </row>
    <row r="204">
      <c r="A204" s="5" t="inlineStr">
        <is>
          <t>Vector Engineering</t>
        </is>
      </c>
      <c r="B204" s="11" t="inlineStr">
        <is>
          <t>Dump bodies/truck trays</t>
        </is>
      </c>
      <c r="C204" s="5" t="inlineStr">
        <is>
          <t>Duratray International Pty Ltd</t>
        </is>
      </c>
      <c r="D204" s="11" t="inlineStr">
        <is>
          <t>Parent/Affiliate</t>
        </is>
      </c>
      <c r="E204" s="5" t="inlineStr">
        <is>
          <t>Australia</t>
        </is>
      </c>
      <c r="F204" s="5" t="n">
        <v>2025</v>
      </c>
      <c r="G204" s="5" t="n">
        <v>2</v>
      </c>
      <c r="H204" s="7" t="n">
        <v>137283</v>
      </c>
      <c r="I204" s="5" t="inlineStr">
        <is>
          <t>USD</t>
        </is>
      </c>
      <c r="J204" s="8">
        <f>IF($I204="AUD",Assumptions!$B$2,Assumptions!$B$3)</f>
        <v/>
      </c>
      <c r="K204" s="9">
        <f>$G204*$H204*$J204</f>
        <v/>
      </c>
      <c r="L204" s="9">
        <f>$K204*Assumptions!$B$4</f>
        <v/>
      </c>
      <c r="M204" s="9">
        <f>RawTx[[#This Row],[Value USD]]/RawTx[[#This Row],[Quantity]]</f>
        <v/>
      </c>
      <c r="N204" s="9">
        <f>RawTx[[#This Row],[Value IDR]]/RawTx[[#This Row],[Quantity]]</f>
        <v/>
      </c>
      <c r="O204" s="4" t="inlineStr">
        <is>
          <t>CAT785NG SDB TRAYS - SDB1021 &amp; SDB1022INCLUDING SPARES</t>
        </is>
      </c>
      <c r="P204" s="5" t="inlineStr">
        <is>
          <t>Caterpillar</t>
        </is>
      </c>
      <c r="Q204" s="14" t="inlineStr">
        <is>
          <t>785NG</t>
        </is>
      </c>
      <c r="R204" s="7" t="n">
        <v>53308</v>
      </c>
      <c r="S204" s="7">
        <f>IFERROR($R204/$G204,"")</f>
        <v/>
      </c>
      <c r="T204" s="7" t="n">
        <v>0</v>
      </c>
      <c r="U204" s="7" t="n">
        <v>0</v>
      </c>
      <c r="V204" s="7" t="n">
        <v>274566</v>
      </c>
      <c r="W204" s="9">
        <f>IF(ISNUMBER($T204),$T204*$J204*Assumptions!$B$4,"NA")</f>
        <v/>
      </c>
      <c r="X204" s="9">
        <f>IF(ISNUMBER($U204),$U204*$J204*Assumptions!$B$4,"NA")</f>
        <v/>
      </c>
      <c r="Y204" s="9">
        <f>IF(ISNUMBER($V204),$V204*$J204*Assumptions!$B$4,"NA")</f>
        <v/>
      </c>
    </row>
    <row r="205">
      <c r="A205" s="5" t="inlineStr">
        <is>
          <t>Vector Engineering</t>
        </is>
      </c>
      <c r="B205" s="11" t="inlineStr">
        <is>
          <t>Dump bodies/truck trays</t>
        </is>
      </c>
      <c r="C205" s="5" t="inlineStr">
        <is>
          <t>Duratray International Pty Ltd</t>
        </is>
      </c>
      <c r="D205" s="11" t="inlineStr">
        <is>
          <t>Parent/Affiliate</t>
        </is>
      </c>
      <c r="E205" s="5" t="inlineStr">
        <is>
          <t>Australia</t>
        </is>
      </c>
      <c r="F205" s="5" t="n">
        <v>2025</v>
      </c>
      <c r="G205" s="5" t="n">
        <v>2</v>
      </c>
      <c r="H205" s="7" t="n">
        <v>137283</v>
      </c>
      <c r="I205" s="5" t="inlineStr">
        <is>
          <t>USD</t>
        </is>
      </c>
      <c r="J205" s="8">
        <f>IF($I205="AUD",Assumptions!$B$2,Assumptions!$B$3)</f>
        <v/>
      </c>
      <c r="K205" s="9">
        <f>$G205*$H205*$J205</f>
        <v/>
      </c>
      <c r="L205" s="9">
        <f>$K205*Assumptions!$B$4</f>
        <v/>
      </c>
      <c r="M205" s="9">
        <f>RawTx[[#This Row],[Value USD]]/RawTx[[#This Row],[Quantity]]</f>
        <v/>
      </c>
      <c r="N205" s="9">
        <f>RawTx[[#This Row],[Value IDR]]/RawTx[[#This Row],[Quantity]]</f>
        <v/>
      </c>
      <c r="O205" s="4" t="inlineStr">
        <is>
          <t>CAT785NG SDB TRAYS - SDB1017 &amp; SDB1018INCUDING SPARES &amp;</t>
        </is>
      </c>
      <c r="P205" s="5" t="inlineStr">
        <is>
          <t>Caterpillar</t>
        </is>
      </c>
      <c r="Q205" s="14" t="inlineStr">
        <is>
          <t>785NG</t>
        </is>
      </c>
      <c r="R205" s="7" t="n">
        <v>53108</v>
      </c>
      <c r="S205" s="7">
        <f>IFERROR($R205/$G205,"")</f>
        <v/>
      </c>
      <c r="T205" s="7" t="n">
        <v>0</v>
      </c>
      <c r="U205" s="7" t="n">
        <v>0</v>
      </c>
      <c r="V205" s="7" t="n">
        <v>274566</v>
      </c>
      <c r="W205" s="9">
        <f>IF(ISNUMBER($T205),$T205*$J205*Assumptions!$B$4,"NA")</f>
        <v/>
      </c>
      <c r="X205" s="9">
        <f>IF(ISNUMBER($U205),$U205*$J205*Assumptions!$B$4,"NA")</f>
        <v/>
      </c>
      <c r="Y205" s="9">
        <f>IF(ISNUMBER($V205),$V205*$J205*Assumptions!$B$4,"NA")</f>
        <v/>
      </c>
    </row>
    <row r="206">
      <c r="A206" s="5" t="inlineStr">
        <is>
          <t>Vector Engineering</t>
        </is>
      </c>
      <c r="B206" s="11" t="inlineStr">
        <is>
          <t>Dump bodies/truck trays</t>
        </is>
      </c>
      <c r="C206" s="5" t="inlineStr">
        <is>
          <t>Morobe Consolidated Goldfields Limited</t>
        </is>
      </c>
      <c r="D206" s="5" t="inlineStr">
        <is>
          <t>Owner</t>
        </is>
      </c>
      <c r="E206" s="5" t="inlineStr">
        <is>
          <t>Papua New Guinea</t>
        </is>
      </c>
      <c r="F206" s="5" t="n">
        <v>2025</v>
      </c>
      <c r="G206" s="5" t="n">
        <v>2</v>
      </c>
      <c r="H206" s="7" t="n">
        <v>126878</v>
      </c>
      <c r="I206" s="5" t="inlineStr">
        <is>
          <t>USD</t>
        </is>
      </c>
      <c r="J206" s="8">
        <f>IF($I206="AUD",Assumptions!$B$2,Assumptions!$B$3)</f>
        <v/>
      </c>
      <c r="K206" s="9">
        <f>$G206*$H206*$J206</f>
        <v/>
      </c>
      <c r="L206" s="9">
        <f>$K206*Assumptions!$B$4</f>
        <v/>
      </c>
      <c r="M206" s="9">
        <f>RawTx[[#This Row],[Value USD]]/RawTx[[#This Row],[Quantity]]</f>
        <v/>
      </c>
      <c r="N206" s="9">
        <f>RawTx[[#This Row],[Value IDR]]/RawTx[[#This Row],[Quantity]]</f>
        <v/>
      </c>
      <c r="O206" s="4" t="inlineStr">
        <is>
          <t>ULTRA XP KOM785-7 STEEL TRAY, SP-1015 &amp; SP-1016PACKING IN</t>
        </is>
      </c>
      <c r="P206" s="5" t="inlineStr">
        <is>
          <t>Komatsu</t>
        </is>
      </c>
      <c r="Q206" s="13" t="inlineStr">
        <is>
          <t>HD785-7</t>
        </is>
      </c>
      <c r="R206" s="7" t="n">
        <v>31742</v>
      </c>
      <c r="S206" s="7">
        <f>IFERROR($R206/$G206,"")</f>
        <v/>
      </c>
      <c r="T206" s="7" t="n">
        <v>0</v>
      </c>
      <c r="U206" s="7" t="n">
        <v>0</v>
      </c>
      <c r="V206" s="7" t="n">
        <v>253756</v>
      </c>
      <c r="W206" s="9">
        <f>IF(ISNUMBER($T206),$T206*$J206*Assumptions!$B$4,"NA")</f>
        <v/>
      </c>
      <c r="X206" s="9">
        <f>IF(ISNUMBER($U206),$U206*$J206*Assumptions!$B$4,"NA")</f>
        <v/>
      </c>
      <c r="Y206" s="9">
        <f>IF(ISNUMBER($V206),$V206*$J206*Assumptions!$B$4,"NA")</f>
        <v/>
      </c>
    </row>
    <row r="207">
      <c r="A207" s="5" t="inlineStr">
        <is>
          <t>Vector Engineering</t>
        </is>
      </c>
      <c r="B207" s="11" t="inlineStr">
        <is>
          <t>Dump bodies/truck trays</t>
        </is>
      </c>
      <c r="C207" s="5" t="inlineStr">
        <is>
          <t>Morobe Consolidated Goldfields Limited</t>
        </is>
      </c>
      <c r="D207" s="5" t="inlineStr">
        <is>
          <t>Owner</t>
        </is>
      </c>
      <c r="E207" s="5" t="inlineStr">
        <is>
          <t>Papua New Guinea</t>
        </is>
      </c>
      <c r="F207" s="5" t="n">
        <v>2025</v>
      </c>
      <c r="G207" s="5" t="n">
        <v>2</v>
      </c>
      <c r="H207" s="7" t="n">
        <v>126878</v>
      </c>
      <c r="I207" s="5" t="inlineStr">
        <is>
          <t>USD</t>
        </is>
      </c>
      <c r="J207" s="8">
        <f>IF($I207="AUD",Assumptions!$B$2,Assumptions!$B$3)</f>
        <v/>
      </c>
      <c r="K207" s="9">
        <f>$G207*$H207*$J207</f>
        <v/>
      </c>
      <c r="L207" s="9">
        <f>$K207*Assumptions!$B$4</f>
        <v/>
      </c>
      <c r="M207" s="9">
        <f>RawTx[[#This Row],[Value USD]]/RawTx[[#This Row],[Quantity]]</f>
        <v/>
      </c>
      <c r="N207" s="9">
        <f>RawTx[[#This Row],[Value IDR]]/RawTx[[#This Row],[Quantity]]</f>
        <v/>
      </c>
      <c r="O207" s="4" t="inlineStr">
        <is>
          <t>ULTRA XP KOM785-7 STEEL TRAY, SP-1013 &amp; SP-1014PACKING IN</t>
        </is>
      </c>
      <c r="P207" s="5" t="inlineStr">
        <is>
          <t>Komatsu</t>
        </is>
      </c>
      <c r="Q207" s="13" t="inlineStr">
        <is>
          <t>HD785-7</t>
        </is>
      </c>
      <c r="R207" s="7" t="n">
        <v>31742</v>
      </c>
      <c r="S207" s="7">
        <f>IFERROR($R207/$G207,"")</f>
        <v/>
      </c>
      <c r="T207" s="7" t="n">
        <v>0</v>
      </c>
      <c r="U207" s="7" t="n">
        <v>0</v>
      </c>
      <c r="V207" s="7" t="n">
        <v>253756</v>
      </c>
      <c r="W207" s="9">
        <f>IF(ISNUMBER($T207),$T207*$J207*Assumptions!$B$4,"NA")</f>
        <v/>
      </c>
      <c r="X207" s="9">
        <f>IF(ISNUMBER($U207),$U207*$J207*Assumptions!$B$4,"NA")</f>
        <v/>
      </c>
      <c r="Y207" s="9">
        <f>IF(ISNUMBER($V207),$V207*$J207*Assumptions!$B$4,"NA")</f>
        <v/>
      </c>
    </row>
    <row r="208">
      <c r="A208" s="5" t="inlineStr">
        <is>
          <t>Vector Engineering</t>
        </is>
      </c>
      <c r="B208" s="11" t="inlineStr">
        <is>
          <t>Dump bodies/truck trays</t>
        </is>
      </c>
      <c r="C208" s="5" t="inlineStr">
        <is>
          <t>Morobe Consolidated Goldfields Limited</t>
        </is>
      </c>
      <c r="D208" s="5" t="inlineStr">
        <is>
          <t>Owner</t>
        </is>
      </c>
      <c r="E208" s="5" t="inlineStr">
        <is>
          <t>Papua New Guinea</t>
        </is>
      </c>
      <c r="F208" s="5" t="n">
        <v>2025</v>
      </c>
      <c r="G208" s="5" t="n">
        <v>2</v>
      </c>
      <c r="H208" s="7" t="n">
        <v>126878</v>
      </c>
      <c r="I208" s="5" t="inlineStr">
        <is>
          <t>USD</t>
        </is>
      </c>
      <c r="J208" s="8">
        <f>IF($I208="AUD",Assumptions!$B$2,Assumptions!$B$3)</f>
        <v/>
      </c>
      <c r="K208" s="9">
        <f>$G208*$H208*$J208</f>
        <v/>
      </c>
      <c r="L208" s="9">
        <f>$K208*Assumptions!$B$4</f>
        <v/>
      </c>
      <c r="M208" s="9">
        <f>RawTx[[#This Row],[Value USD]]/RawTx[[#This Row],[Quantity]]</f>
        <v/>
      </c>
      <c r="N208" s="9">
        <f>RawTx[[#This Row],[Value IDR]]/RawTx[[#This Row],[Quantity]]</f>
        <v/>
      </c>
      <c r="O208" s="4" t="inlineStr">
        <is>
          <t>ULTRA XP KOM785-7 STEEL TRAY, SP-1011 &amp; SP-1012PACKING IN</t>
        </is>
      </c>
      <c r="P208" s="5" t="inlineStr">
        <is>
          <t>Komatsu</t>
        </is>
      </c>
      <c r="Q208" s="13" t="inlineStr">
        <is>
          <t>HD785-7</t>
        </is>
      </c>
      <c r="R208" s="7" t="n">
        <v>31742</v>
      </c>
      <c r="S208" s="7">
        <f>IFERROR($R208/$G208,"")</f>
        <v/>
      </c>
      <c r="T208" s="7" t="n">
        <v>0</v>
      </c>
      <c r="U208" s="7" t="n">
        <v>0</v>
      </c>
      <c r="V208" s="7" t="n">
        <v>253756</v>
      </c>
      <c r="W208" s="9">
        <f>IF(ISNUMBER($T208),$T208*$J208*Assumptions!$B$4,"NA")</f>
        <v/>
      </c>
      <c r="X208" s="9">
        <f>IF(ISNUMBER($U208),$U208*$J208*Assumptions!$B$4,"NA")</f>
        <v/>
      </c>
      <c r="Y208" s="9">
        <f>IF(ISNUMBER($V208),$V208*$J208*Assumptions!$B$4,"NA")</f>
        <v/>
      </c>
    </row>
    <row r="209">
      <c r="A209" s="5" t="inlineStr">
        <is>
          <t>Vector Engineering</t>
        </is>
      </c>
      <c r="B209" s="11" t="inlineStr">
        <is>
          <t>Dump bodies/truck trays</t>
        </is>
      </c>
      <c r="C209" s="5" t="inlineStr">
        <is>
          <t>Morobe Consolidated Goldfields Limited</t>
        </is>
      </c>
      <c r="D209" s="5" t="inlineStr">
        <is>
          <t>Owner</t>
        </is>
      </c>
      <c r="E209" s="5" t="inlineStr">
        <is>
          <t>Papua New Guinea</t>
        </is>
      </c>
      <c r="F209" s="5" t="n">
        <v>2025</v>
      </c>
      <c r="G209" s="5" t="n">
        <v>2</v>
      </c>
      <c r="H209" s="7" t="n">
        <v>126878</v>
      </c>
      <c r="I209" s="5" t="inlineStr">
        <is>
          <t>USD</t>
        </is>
      </c>
      <c r="J209" s="8">
        <f>IF($I209="AUD",Assumptions!$B$2,Assumptions!$B$3)</f>
        <v/>
      </c>
      <c r="K209" s="9">
        <f>$G209*$H209*$J209</f>
        <v/>
      </c>
      <c r="L209" s="9">
        <f>$K209*Assumptions!$B$4</f>
        <v/>
      </c>
      <c r="M209" s="9">
        <f>RawTx[[#This Row],[Value USD]]/RawTx[[#This Row],[Quantity]]</f>
        <v/>
      </c>
      <c r="N209" s="9">
        <f>RawTx[[#This Row],[Value IDR]]/RawTx[[#This Row],[Quantity]]</f>
        <v/>
      </c>
      <c r="O209" s="4" t="inlineStr">
        <is>
          <t>ULTRA XP KOM785-7 STEEL TRAY, SP-1009 &amp; SP-1010PACKING IN</t>
        </is>
      </c>
      <c r="P209" s="5" t="inlineStr">
        <is>
          <t>Komatsu</t>
        </is>
      </c>
      <c r="Q209" s="13" t="inlineStr">
        <is>
          <t>HD785-7</t>
        </is>
      </c>
      <c r="R209" s="7" t="n">
        <v>31742</v>
      </c>
      <c r="S209" s="7">
        <f>IFERROR($R209/$G209,"")</f>
        <v/>
      </c>
      <c r="T209" s="7" t="n">
        <v>0</v>
      </c>
      <c r="U209" s="7" t="n">
        <v>0</v>
      </c>
      <c r="V209" s="7" t="n">
        <v>253756</v>
      </c>
      <c r="W209" s="9">
        <f>IF(ISNUMBER($T209),$T209*$J209*Assumptions!$B$4,"NA")</f>
        <v/>
      </c>
      <c r="X209" s="9">
        <f>IF(ISNUMBER($U209),$U209*$J209*Assumptions!$B$4,"NA")</f>
        <v/>
      </c>
      <c r="Y209" s="9">
        <f>IF(ISNUMBER($V209),$V209*$J209*Assumptions!$B$4,"NA")</f>
        <v/>
      </c>
    </row>
    <row r="210">
      <c r="A210" s="5" t="inlineStr">
        <is>
          <t>Vector Engineering</t>
        </is>
      </c>
      <c r="B210" s="11" t="inlineStr">
        <is>
          <t>Dump bodies/truck trays</t>
        </is>
      </c>
      <c r="C210" s="5" t="inlineStr">
        <is>
          <t>Morobe Consolidated Goldfields Limited</t>
        </is>
      </c>
      <c r="D210" s="5" t="inlineStr">
        <is>
          <t>Owner</t>
        </is>
      </c>
      <c r="E210" s="5" t="inlineStr">
        <is>
          <t>Papua New Guinea</t>
        </is>
      </c>
      <c r="F210" s="5" t="n">
        <v>2025</v>
      </c>
      <c r="G210" s="5" t="n">
        <v>2</v>
      </c>
      <c r="H210" s="7" t="n">
        <v>126878</v>
      </c>
      <c r="I210" s="5" t="inlineStr">
        <is>
          <t>USD</t>
        </is>
      </c>
      <c r="J210" s="8">
        <f>IF($I210="AUD",Assumptions!$B$2,Assumptions!$B$3)</f>
        <v/>
      </c>
      <c r="K210" s="9">
        <f>$G210*$H210*$J210</f>
        <v/>
      </c>
      <c r="L210" s="9">
        <f>$K210*Assumptions!$B$4</f>
        <v/>
      </c>
      <c r="M210" s="9">
        <f>RawTx[[#This Row],[Value USD]]/RawTx[[#This Row],[Quantity]]</f>
        <v/>
      </c>
      <c r="N210" s="9">
        <f>RawTx[[#This Row],[Value IDR]]/RawTx[[#This Row],[Quantity]]</f>
        <v/>
      </c>
      <c r="O210" s="4" t="inlineStr">
        <is>
          <t>ULTRA XP KOM785-7 STEEL TRAY, SP-1007PACKING INTO 1 PLAS</t>
        </is>
      </c>
      <c r="P210" s="5" t="inlineStr">
        <is>
          <t>Komatsu</t>
        </is>
      </c>
      <c r="Q210" s="13" t="inlineStr">
        <is>
          <t>HD785-7</t>
        </is>
      </c>
      <c r="R210" s="7" t="n">
        <v>31742</v>
      </c>
      <c r="S210" s="7">
        <f>IFERROR($R210/$G210,"")</f>
        <v/>
      </c>
      <c r="T210" s="7" t="n">
        <v>0</v>
      </c>
      <c r="U210" s="7" t="n">
        <v>0</v>
      </c>
      <c r="V210" s="7" t="n">
        <v>253756</v>
      </c>
      <c r="W210" s="9">
        <f>IF(ISNUMBER($T210),$T210*$J210*Assumptions!$B$4,"NA")</f>
        <v/>
      </c>
      <c r="X210" s="9">
        <f>IF(ISNUMBER($U210),$U210*$J210*Assumptions!$B$4,"NA")</f>
        <v/>
      </c>
      <c r="Y210" s="9">
        <f>IF(ISNUMBER($V210),$V210*$J210*Assumptions!$B$4,"NA")</f>
        <v/>
      </c>
    </row>
    <row r="211">
      <c r="A211" s="5" t="inlineStr">
        <is>
          <t>Vector Engineering</t>
        </is>
      </c>
      <c r="B211" s="11" t="inlineStr">
        <is>
          <t>Dump bodies/truck trays</t>
        </is>
      </c>
      <c r="C211" s="5" t="inlineStr">
        <is>
          <t>Morobe Consolidated Goldfields Limited</t>
        </is>
      </c>
      <c r="D211" s="5" t="inlineStr">
        <is>
          <t>Owner</t>
        </is>
      </c>
      <c r="E211" s="5" t="inlineStr">
        <is>
          <t>Papua New Guinea</t>
        </is>
      </c>
      <c r="F211" s="5" t="n">
        <v>2025</v>
      </c>
      <c r="G211" s="5" t="n">
        <v>2</v>
      </c>
      <c r="H211" s="7" t="n">
        <v>126878</v>
      </c>
      <c r="I211" s="5" t="inlineStr">
        <is>
          <t>USD</t>
        </is>
      </c>
      <c r="J211" s="8">
        <f>IF($I211="AUD",Assumptions!$B$2,Assumptions!$B$3)</f>
        <v/>
      </c>
      <c r="K211" s="9">
        <f>$G211*$H211*$J211</f>
        <v/>
      </c>
      <c r="L211" s="9">
        <f>$K211*Assumptions!$B$4</f>
        <v/>
      </c>
      <c r="M211" s="9">
        <f>RawTx[[#This Row],[Value USD]]/RawTx[[#This Row],[Quantity]]</f>
        <v/>
      </c>
      <c r="N211" s="9">
        <f>RawTx[[#This Row],[Value IDR]]/RawTx[[#This Row],[Quantity]]</f>
        <v/>
      </c>
      <c r="O211" s="4" t="inlineStr">
        <is>
          <t>ULTRA XP KOM785-7 STEEL TRAY, SP-1005 &amp; SP-1006PACKING IN</t>
        </is>
      </c>
      <c r="P211" s="5" t="inlineStr">
        <is>
          <t>Komatsu</t>
        </is>
      </c>
      <c r="Q211" s="13" t="inlineStr">
        <is>
          <t>HD785-7</t>
        </is>
      </c>
      <c r="R211" s="7" t="n">
        <v>31742</v>
      </c>
      <c r="S211" s="7">
        <f>IFERROR($R211/$G211,"")</f>
        <v/>
      </c>
      <c r="T211" s="7" t="n">
        <v>0</v>
      </c>
      <c r="U211" s="7" t="n">
        <v>0</v>
      </c>
      <c r="V211" s="7" t="n">
        <v>253756</v>
      </c>
      <c r="W211" s="9">
        <f>IF(ISNUMBER($T211),$T211*$J211*Assumptions!$B$4,"NA")</f>
        <v/>
      </c>
      <c r="X211" s="9">
        <f>IF(ISNUMBER($U211),$U211*$J211*Assumptions!$B$4,"NA")</f>
        <v/>
      </c>
      <c r="Y211" s="9">
        <f>IF(ISNUMBER($V211),$V211*$J211*Assumptions!$B$4,"NA")</f>
        <v/>
      </c>
    </row>
    <row r="212">
      <c r="A212" s="5" t="inlineStr">
        <is>
          <t>Vector Engineering</t>
        </is>
      </c>
      <c r="B212" s="11" t="inlineStr">
        <is>
          <t>Dump bodies/truck trays</t>
        </is>
      </c>
      <c r="C212" s="5" t="inlineStr">
        <is>
          <t>Morobe Consolidated Goldfields Limited</t>
        </is>
      </c>
      <c r="D212" s="5" t="inlineStr">
        <is>
          <t>Owner</t>
        </is>
      </c>
      <c r="E212" s="5" t="inlineStr">
        <is>
          <t>Papua New Guinea</t>
        </is>
      </c>
      <c r="F212" s="5" t="n">
        <v>2025</v>
      </c>
      <c r="G212" s="5" t="n">
        <v>2</v>
      </c>
      <c r="H212" s="7" t="n">
        <v>126878</v>
      </c>
      <c r="I212" s="5" t="inlineStr">
        <is>
          <t>USD</t>
        </is>
      </c>
      <c r="J212" s="8">
        <f>IF($I212="AUD",Assumptions!$B$2,Assumptions!$B$3)</f>
        <v/>
      </c>
      <c r="K212" s="9">
        <f>$G212*$H212*$J212</f>
        <v/>
      </c>
      <c r="L212" s="9">
        <f>$K212*Assumptions!$B$4</f>
        <v/>
      </c>
      <c r="M212" s="9">
        <f>RawTx[[#This Row],[Value USD]]/RawTx[[#This Row],[Quantity]]</f>
        <v/>
      </c>
      <c r="N212" s="9">
        <f>RawTx[[#This Row],[Value IDR]]/RawTx[[#This Row],[Quantity]]</f>
        <v/>
      </c>
      <c r="O212" s="4" t="inlineStr">
        <is>
          <t>ULTRA XP KOM785-7 STEEL TRAY, SP-1003 &amp; SP-1004PACKING IN</t>
        </is>
      </c>
      <c r="P212" s="5" t="inlineStr">
        <is>
          <t>Komatsu</t>
        </is>
      </c>
      <c r="Q212" s="13" t="inlineStr">
        <is>
          <t>HD785-7</t>
        </is>
      </c>
      <c r="R212" s="7" t="n">
        <v>31742</v>
      </c>
      <c r="S212" s="7">
        <f>IFERROR($R212/$G212,"")</f>
        <v/>
      </c>
      <c r="T212" s="7" t="n">
        <v>0</v>
      </c>
      <c r="U212" s="7" t="n">
        <v>0</v>
      </c>
      <c r="V212" s="7" t="n">
        <v>253756</v>
      </c>
      <c r="W212" s="9">
        <f>IF(ISNUMBER($T212),$T212*$J212*Assumptions!$B$4,"NA")</f>
        <v/>
      </c>
      <c r="X212" s="9">
        <f>IF(ISNUMBER($U212),$U212*$J212*Assumptions!$B$4,"NA")</f>
        <v/>
      </c>
      <c r="Y212" s="9">
        <f>IF(ISNUMBER($V212),$V212*$J212*Assumptions!$B$4,"NA")</f>
        <v/>
      </c>
    </row>
    <row r="213">
      <c r="A213" s="5" t="inlineStr">
        <is>
          <t>Vector Engineering</t>
        </is>
      </c>
      <c r="B213" s="11" t="inlineStr">
        <is>
          <t>Dump bodies/truck trays</t>
        </is>
      </c>
      <c r="C213" s="5" t="inlineStr">
        <is>
          <t>Morobe Consolidated Goldfields Limited</t>
        </is>
      </c>
      <c r="D213" s="5" t="inlineStr">
        <is>
          <t>Owner</t>
        </is>
      </c>
      <c r="E213" s="5" t="inlineStr">
        <is>
          <t>Papua New Guinea</t>
        </is>
      </c>
      <c r="F213" s="5" t="n">
        <v>2025</v>
      </c>
      <c r="G213" s="5" t="n">
        <v>2</v>
      </c>
      <c r="H213" s="7" t="n">
        <v>126878</v>
      </c>
      <c r="I213" s="5" t="inlineStr">
        <is>
          <t>USD</t>
        </is>
      </c>
      <c r="J213" s="8">
        <f>IF($I213="AUD",Assumptions!$B$2,Assumptions!$B$3)</f>
        <v/>
      </c>
      <c r="K213" s="9">
        <f>$G213*$H213*$J213</f>
        <v/>
      </c>
      <c r="L213" s="9">
        <f>$K213*Assumptions!$B$4</f>
        <v/>
      </c>
      <c r="M213" s="9">
        <f>RawTx[[#This Row],[Value USD]]/RawTx[[#This Row],[Quantity]]</f>
        <v/>
      </c>
      <c r="N213" s="9">
        <f>RawTx[[#This Row],[Value IDR]]/RawTx[[#This Row],[Quantity]]</f>
        <v/>
      </c>
      <c r="O213" s="4" t="inlineStr">
        <is>
          <t>ULTRA XP KOM785-7 STEEL TRAY, SP-999 &amp; SP-1000PACKING IN</t>
        </is>
      </c>
      <c r="P213" s="5" t="inlineStr">
        <is>
          <t>Komatsu</t>
        </is>
      </c>
      <c r="Q213" s="13" t="inlineStr">
        <is>
          <t>HD785-7</t>
        </is>
      </c>
      <c r="R213" s="7" t="n">
        <v>31742</v>
      </c>
      <c r="S213" s="7">
        <f>IFERROR($R213/$G213,"")</f>
        <v/>
      </c>
      <c r="T213" s="7" t="n">
        <v>0</v>
      </c>
      <c r="U213" s="7" t="n">
        <v>0</v>
      </c>
      <c r="V213" s="7" t="n">
        <v>253756</v>
      </c>
      <c r="W213" s="9">
        <f>IF(ISNUMBER($T213),$T213*$J213*Assumptions!$B$4,"NA")</f>
        <v/>
      </c>
      <c r="X213" s="9">
        <f>IF(ISNUMBER($U213),$U213*$J213*Assumptions!$B$4,"NA")</f>
        <v/>
      </c>
      <c r="Y213" s="9">
        <f>IF(ISNUMBER($V213),$V213*$J213*Assumptions!$B$4,"NA")</f>
        <v/>
      </c>
    </row>
    <row r="214">
      <c r="A214" s="5" t="inlineStr">
        <is>
          <t>Vector Engineering</t>
        </is>
      </c>
      <c r="B214" s="11" t="inlineStr">
        <is>
          <t>Dump bodies/truck trays</t>
        </is>
      </c>
      <c r="C214" s="5" t="inlineStr">
        <is>
          <t>Morobe Consolidated Goldfields Limited</t>
        </is>
      </c>
      <c r="D214" s="5" t="inlineStr">
        <is>
          <t>Owner</t>
        </is>
      </c>
      <c r="E214" s="5" t="inlineStr">
        <is>
          <t>Papua New Guinea</t>
        </is>
      </c>
      <c r="F214" s="5" t="n">
        <v>2024</v>
      </c>
      <c r="G214" s="5" t="n">
        <v>2</v>
      </c>
      <c r="H214" s="7" t="n">
        <v>126878</v>
      </c>
      <c r="I214" s="5" t="inlineStr">
        <is>
          <t>USD</t>
        </is>
      </c>
      <c r="J214" s="8">
        <f>IF($I214="AUD",Assumptions!$B$2,Assumptions!$B$3)</f>
        <v/>
      </c>
      <c r="K214" s="9">
        <f>$G214*$H214*$J214</f>
        <v/>
      </c>
      <c r="L214" s="9">
        <f>$K214*Assumptions!$B$4</f>
        <v/>
      </c>
      <c r="M214" s="9">
        <f>RawTx[[#This Row],[Value USD]]/RawTx[[#This Row],[Quantity]]</f>
        <v/>
      </c>
      <c r="N214" s="9">
        <f>RawTx[[#This Row],[Value IDR]]/RawTx[[#This Row],[Quantity]]</f>
        <v/>
      </c>
      <c r="O214" s="4" t="inlineStr">
        <is>
          <t>ULTRA XP KOM785-7 STEEL TRAY, SP-999 &amp; SP-1000PACKING IN</t>
        </is>
      </c>
      <c r="P214" s="5" t="inlineStr">
        <is>
          <t>Komatsu</t>
        </is>
      </c>
      <c r="Q214" s="13" t="inlineStr">
        <is>
          <t>HD785-7</t>
        </is>
      </c>
      <c r="R214" s="7" t="n">
        <v>31742</v>
      </c>
      <c r="S214" s="7">
        <f>IFERROR($R214/$G214,"")</f>
        <v/>
      </c>
      <c r="T214" s="7" t="inlineStr">
        <is>
          <t>NA</t>
        </is>
      </c>
      <c r="U214" s="7" t="inlineStr">
        <is>
          <t>NA</t>
        </is>
      </c>
      <c r="V214" s="7" t="inlineStr">
        <is>
          <t>NA</t>
        </is>
      </c>
      <c r="W214" s="9">
        <f>IF(ISNUMBER($T214),$T214*$J214*Assumptions!$B$4,"NA")</f>
        <v/>
      </c>
      <c r="X214" s="9">
        <f>IF(ISNUMBER($U214),$U214*$J214*Assumptions!$B$4,"NA")</f>
        <v/>
      </c>
      <c r="Y214" s="9">
        <f>IF(ISNUMBER($V214),$V214*$J214*Assumptions!$B$4,"NA")</f>
        <v/>
      </c>
    </row>
    <row r="215">
      <c r="A215" s="5" t="inlineStr">
        <is>
          <t>Vector Engineering</t>
        </is>
      </c>
      <c r="B215" s="11" t="inlineStr">
        <is>
          <t>Dump bodies/truck trays</t>
        </is>
      </c>
      <c r="C215" s="5" t="inlineStr">
        <is>
          <t>Duratray International Pty Ltd</t>
        </is>
      </c>
      <c r="D215" s="11" t="inlineStr">
        <is>
          <t>Parent/Affiliate</t>
        </is>
      </c>
      <c r="E215" s="5" t="inlineStr">
        <is>
          <t>Australia</t>
        </is>
      </c>
      <c r="F215" s="5" t="n">
        <v>2024</v>
      </c>
      <c r="G215" s="5" t="n">
        <v>2</v>
      </c>
      <c r="H215" s="7" t="n">
        <v>141813</v>
      </c>
      <c r="I215" s="5" t="inlineStr">
        <is>
          <t>USD</t>
        </is>
      </c>
      <c r="J215" s="8">
        <f>IF($I215="AUD",Assumptions!$B$2,Assumptions!$B$3)</f>
        <v/>
      </c>
      <c r="K215" s="9">
        <f>$G215*$H215*$J215</f>
        <v/>
      </c>
      <c r="L215" s="9">
        <f>$K215*Assumptions!$B$4</f>
        <v/>
      </c>
      <c r="M215" s="9">
        <f>RawTx[[#This Row],[Value USD]]/RawTx[[#This Row],[Quantity]]</f>
        <v/>
      </c>
      <c r="N215" s="9">
        <f>RawTx[[#This Row],[Value IDR]]/RawTx[[#This Row],[Quantity]]</f>
        <v/>
      </c>
      <c r="O215" s="4" t="inlineStr">
        <is>
          <t>SDB TRAYS CAT785- C/W ACCESORIES : ROCK GUARD ASSEMBL</t>
        </is>
      </c>
      <c r="P215" s="5" t="inlineStr">
        <is>
          <t>Caterpillar</t>
        </is>
      </c>
      <c r="Q215" s="14" t="inlineStr">
        <is>
          <t>785C</t>
        </is>
      </c>
      <c r="R215" s="7" t="n">
        <v>52346</v>
      </c>
      <c r="S215" s="7">
        <f>IFERROR($R215/$G215,"")</f>
        <v/>
      </c>
      <c r="T215" s="7" t="n">
        <v>65882</v>
      </c>
      <c r="U215" s="7" t="n">
        <v>0</v>
      </c>
      <c r="V215" s="7" t="n">
        <v>283626</v>
      </c>
      <c r="W215" s="9">
        <f>IF(ISNUMBER($T215),$T215*$J215*Assumptions!$B$4,"NA")</f>
        <v/>
      </c>
      <c r="X215" s="9">
        <f>IF(ISNUMBER($U215),$U215*$J215*Assumptions!$B$4,"NA")</f>
        <v/>
      </c>
      <c r="Y215" s="9">
        <f>IF(ISNUMBER($V215),$V215*$J215*Assumptions!$B$4,"NA")</f>
        <v/>
      </c>
    </row>
    <row r="216">
      <c r="A216" s="5" t="inlineStr">
        <is>
          <t>Vector Engineering</t>
        </is>
      </c>
      <c r="B216" s="11" t="inlineStr">
        <is>
          <t>Dump bodies/truck trays</t>
        </is>
      </c>
      <c r="C216" s="5" t="inlineStr">
        <is>
          <t>Duratray International Pty Ltd</t>
        </is>
      </c>
      <c r="D216" s="11" t="inlineStr">
        <is>
          <t>Parent/Affiliate</t>
        </is>
      </c>
      <c r="E216" s="5" t="inlineStr">
        <is>
          <t>Australia</t>
        </is>
      </c>
      <c r="F216" s="5" t="n">
        <v>2024</v>
      </c>
      <c r="G216" s="5" t="n">
        <v>3</v>
      </c>
      <c r="H216" s="7" t="n">
        <v>174754</v>
      </c>
      <c r="I216" s="5" t="inlineStr">
        <is>
          <t>USD</t>
        </is>
      </c>
      <c r="J216" s="8">
        <f>IF($I216="AUD",Assumptions!$B$2,Assumptions!$B$3)</f>
        <v/>
      </c>
      <c r="K216" s="9">
        <f>$G216*$H216*$J216</f>
        <v/>
      </c>
      <c r="L216" s="9">
        <f>$K216*Assumptions!$B$4</f>
        <v/>
      </c>
      <c r="M216" s="9">
        <f>RawTx[[#This Row],[Value USD]]/RawTx[[#This Row],[Quantity]]</f>
        <v/>
      </c>
      <c r="N216" s="9">
        <f>RawTx[[#This Row],[Value IDR]]/RawTx[[#This Row],[Quantity]]</f>
        <v/>
      </c>
      <c r="O216" s="4" t="inlineStr">
        <is>
          <t>SDB TRAYS CAT785 C/W ACCESSORIES - JOB 1081</t>
        </is>
      </c>
      <c r="P216" s="5" t="inlineStr">
        <is>
          <t>Caterpillar</t>
        </is>
      </c>
      <c r="Q216" s="14" t="inlineStr">
        <is>
          <t>785C</t>
        </is>
      </c>
      <c r="R216" s="7" t="n">
        <v>78519</v>
      </c>
      <c r="S216" s="7">
        <f>IFERROR($R216/$G216,"")</f>
        <v/>
      </c>
      <c r="T216" s="7" t="n">
        <v>0</v>
      </c>
      <c r="U216" s="7" t="n">
        <v>0</v>
      </c>
      <c r="V216" s="7" t="n">
        <v>524262</v>
      </c>
      <c r="W216" s="9">
        <f>IF(ISNUMBER($T216),$T216*$J216*Assumptions!$B$4,"NA")</f>
        <v/>
      </c>
      <c r="X216" s="9">
        <f>IF(ISNUMBER($U216),$U216*$J216*Assumptions!$B$4,"NA")</f>
        <v/>
      </c>
      <c r="Y216" s="9">
        <f>IF(ISNUMBER($V216),$V216*$J216*Assumptions!$B$4,"NA")</f>
        <v/>
      </c>
    </row>
    <row r="217">
      <c r="A217" s="5" t="inlineStr">
        <is>
          <t>Katsushiro</t>
        </is>
      </c>
      <c r="B217" s="5" t="inlineStr">
        <is>
          <t>Body panels</t>
        </is>
      </c>
      <c r="C217" s="5" t="inlineStr">
        <is>
          <t>AST Trading Inc</t>
        </is>
      </c>
      <c r="D217" s="5" t="inlineStr">
        <is>
          <t>Trader/Distributor</t>
        </is>
      </c>
      <c r="E217" s="5" t="inlineStr">
        <is>
          <t>United States</t>
        </is>
      </c>
      <c r="F217" s="5" t="n">
        <v>2024</v>
      </c>
      <c r="G217" s="5" t="n">
        <v>8</v>
      </c>
      <c r="H217" s="7" t="n">
        <v>6347.77</v>
      </c>
      <c r="I217" s="5" t="inlineStr">
        <is>
          <t>USD</t>
        </is>
      </c>
      <c r="J217" s="8">
        <f>IF($I217="AUD",Assumptions!$B$2,Assumptions!$B$3)</f>
        <v/>
      </c>
      <c r="K217" s="9">
        <f>$G217*$H217*$J217</f>
        <v/>
      </c>
      <c r="L217" s="9">
        <f>$K217*Assumptions!$B$4</f>
        <v/>
      </c>
      <c r="M217" s="9">
        <f>RawTx[[#This Row],[Value USD]]/RawTx[[#This Row],[Quantity]]</f>
        <v/>
      </c>
      <c r="N217" s="9">
        <f>RawTx[[#This Row],[Value IDR]]/RawTx[[#This Row],[Quantity]]</f>
        <v/>
      </c>
      <c r="O217" s="4" t="inlineStr">
        <is>
          <t>VESSEL FRONT HD605</t>
        </is>
      </c>
      <c r="P217" s="5" t="inlineStr">
        <is>
          <t>Komatsu</t>
        </is>
      </c>
      <c r="Q217" s="13" t="inlineStr">
        <is>
          <t>HD605</t>
        </is>
      </c>
      <c r="R217" s="7" t="n">
        <v>14294.6</v>
      </c>
      <c r="S217" s="7">
        <f>IFERROR($R217/$G217,"")</f>
        <v/>
      </c>
      <c r="T217" s="7" t="inlineStr">
        <is>
          <t>NA</t>
        </is>
      </c>
      <c r="U217" s="7" t="inlineStr">
        <is>
          <t>NA</t>
        </is>
      </c>
      <c r="V217" s="7" t="inlineStr">
        <is>
          <t>NA</t>
        </is>
      </c>
      <c r="W217" s="9">
        <f>IF(ISNUMBER($T217),$T217*$J217*Assumptions!$B$4,"NA")</f>
        <v/>
      </c>
      <c r="X217" s="9">
        <f>IF(ISNUMBER($U217),$U217*$J217*Assumptions!$B$4,"NA")</f>
        <v/>
      </c>
      <c r="Y217" s="9">
        <f>IF(ISNUMBER($V217),$V217*$J217*Assumptions!$B$4,"NA")</f>
        <v/>
      </c>
    </row>
    <row r="218">
      <c r="A218" s="5" t="inlineStr">
        <is>
          <t>Katsushiro</t>
        </is>
      </c>
      <c r="B218" s="5" t="inlineStr">
        <is>
          <t>Body panels</t>
        </is>
      </c>
      <c r="C218" s="5" t="inlineStr">
        <is>
          <t>AST Trading Inc</t>
        </is>
      </c>
      <c r="D218" s="5" t="inlineStr">
        <is>
          <t>Trader/Distributor</t>
        </is>
      </c>
      <c r="E218" s="5" t="inlineStr">
        <is>
          <t>United States</t>
        </is>
      </c>
      <c r="F218" s="5" t="n">
        <v>2024</v>
      </c>
      <c r="G218" s="5" t="n">
        <v>12</v>
      </c>
      <c r="H218" s="7" t="n">
        <v>4833.55</v>
      </c>
      <c r="I218" s="5" t="inlineStr">
        <is>
          <t>USD</t>
        </is>
      </c>
      <c r="J218" s="8">
        <f>IF($I218="AUD",Assumptions!$B$2,Assumptions!$B$3)</f>
        <v/>
      </c>
      <c r="K218" s="9">
        <f>$G218*$H218*$J218</f>
        <v/>
      </c>
      <c r="L218" s="9">
        <f>$K218*Assumptions!$B$4</f>
        <v/>
      </c>
      <c r="M218" s="9">
        <f>RawTx[[#This Row],[Value USD]]/RawTx[[#This Row],[Quantity]]</f>
        <v/>
      </c>
      <c r="N218" s="9">
        <f>RawTx[[#This Row],[Value IDR]]/RawTx[[#This Row],[Quantity]]</f>
        <v/>
      </c>
      <c r="O218" s="4" t="inlineStr">
        <is>
          <t>SIDE BODY HD605</t>
        </is>
      </c>
      <c r="P218" s="5" t="inlineStr">
        <is>
          <t>Komatsu</t>
        </is>
      </c>
      <c r="Q218" s="13" t="inlineStr">
        <is>
          <t>HD605</t>
        </is>
      </c>
      <c r="R218" s="7" t="n">
        <v>16347.2</v>
      </c>
      <c r="S218" s="7">
        <f>IFERROR($R218/$G218,"")</f>
        <v/>
      </c>
      <c r="T218" s="7" t="inlineStr">
        <is>
          <t>NA</t>
        </is>
      </c>
      <c r="U218" s="7" t="inlineStr">
        <is>
          <t>NA</t>
        </is>
      </c>
      <c r="V218" s="7" t="inlineStr">
        <is>
          <t>NA</t>
        </is>
      </c>
      <c r="W218" s="9">
        <f>IF(ISNUMBER($T218),$T218*$J218*Assumptions!$B$4,"NA")</f>
        <v/>
      </c>
      <c r="X218" s="9">
        <f>IF(ISNUMBER($U218),$U218*$J218*Assumptions!$B$4,"NA")</f>
        <v/>
      </c>
      <c r="Y218" s="9">
        <f>IF(ISNUMBER($V218),$V218*$J218*Assumptions!$B$4,"NA")</f>
        <v/>
      </c>
    </row>
    <row r="219">
      <c r="A219" s="5" t="inlineStr">
        <is>
          <t>Katsushiro</t>
        </is>
      </c>
      <c r="B219" s="5" t="inlineStr">
        <is>
          <t>Body panels</t>
        </is>
      </c>
      <c r="C219" s="5" t="inlineStr">
        <is>
          <t>AST Trading Inc</t>
        </is>
      </c>
      <c r="D219" s="5" t="inlineStr">
        <is>
          <t>Trader/Distributor</t>
        </is>
      </c>
      <c r="E219" s="5" t="inlineStr">
        <is>
          <t>United States</t>
        </is>
      </c>
      <c r="F219" s="5" t="n">
        <v>2024</v>
      </c>
      <c r="G219" s="5" t="n">
        <v>12</v>
      </c>
      <c r="H219" s="7" t="n">
        <v>3852.27</v>
      </c>
      <c r="I219" s="5" t="inlineStr">
        <is>
          <t>USD</t>
        </is>
      </c>
      <c r="J219" s="8">
        <f>IF($I219="AUD",Assumptions!$B$2,Assumptions!$B$3)</f>
        <v/>
      </c>
      <c r="K219" s="9">
        <f>$G219*$H219*$J219</f>
        <v/>
      </c>
      <c r="L219" s="9">
        <f>$K219*Assumptions!$B$4</f>
        <v/>
      </c>
      <c r="M219" s="9">
        <f>RawTx[[#This Row],[Value USD]]/RawTx[[#This Row],[Quantity]]</f>
        <v/>
      </c>
      <c r="N219" s="9">
        <f>RawTx[[#This Row],[Value IDR]]/RawTx[[#This Row],[Quantity]]</f>
        <v/>
      </c>
      <c r="O219" s="4" t="inlineStr">
        <is>
          <t>SIDE BODY HD465</t>
        </is>
      </c>
      <c r="P219" s="5" t="inlineStr">
        <is>
          <t>Komatsu</t>
        </is>
      </c>
      <c r="Q219" s="13" t="inlineStr">
        <is>
          <t>HD465</t>
        </is>
      </c>
      <c r="R219" s="7" t="n">
        <v>13755</v>
      </c>
      <c r="S219" s="7">
        <f>IFERROR($R219/$G219,"")</f>
        <v/>
      </c>
      <c r="T219" s="7" t="inlineStr">
        <is>
          <t>NA</t>
        </is>
      </c>
      <c r="U219" s="7" t="inlineStr">
        <is>
          <t>NA</t>
        </is>
      </c>
      <c r="V219" s="7" t="inlineStr">
        <is>
          <t>NA</t>
        </is>
      </c>
      <c r="W219" s="9">
        <f>IF(ISNUMBER($T219),$T219*$J219*Assumptions!$B$4,"NA")</f>
        <v/>
      </c>
      <c r="X219" s="9">
        <f>IF(ISNUMBER($U219),$U219*$J219*Assumptions!$B$4,"NA")</f>
        <v/>
      </c>
      <c r="Y219" s="9">
        <f>IF(ISNUMBER($V219),$V219*$J219*Assumptions!$B$4,"NA")</f>
        <v/>
      </c>
    </row>
    <row r="220">
      <c r="A220" s="5" t="inlineStr">
        <is>
          <t>Katsushiro</t>
        </is>
      </c>
      <c r="B220" s="5" t="inlineStr">
        <is>
          <t>Body panels</t>
        </is>
      </c>
      <c r="C220" s="5" t="inlineStr">
        <is>
          <t>AST Trading Inc</t>
        </is>
      </c>
      <c r="D220" s="5" t="inlineStr">
        <is>
          <t>Trader/Distributor</t>
        </is>
      </c>
      <c r="E220" s="5" t="inlineStr">
        <is>
          <t>United States</t>
        </is>
      </c>
      <c r="F220" s="5" t="n">
        <v>2024</v>
      </c>
      <c r="G220" s="5" t="n">
        <v>16</v>
      </c>
      <c r="H220" s="7" t="n">
        <v>6197.03</v>
      </c>
      <c r="I220" s="5" t="inlineStr">
        <is>
          <t>USD</t>
        </is>
      </c>
      <c r="J220" s="8">
        <f>IF($I220="AUD",Assumptions!$B$2,Assumptions!$B$3)</f>
        <v/>
      </c>
      <c r="K220" s="9">
        <f>$G220*$H220*$J220</f>
        <v/>
      </c>
      <c r="L220" s="9">
        <f>$K220*Assumptions!$B$4</f>
        <v/>
      </c>
      <c r="M220" s="9">
        <f>RawTx[[#This Row],[Value USD]]/RawTx[[#This Row],[Quantity]]</f>
        <v/>
      </c>
      <c r="N220" s="9">
        <f>RawTx[[#This Row],[Value IDR]]/RawTx[[#This Row],[Quantity]]</f>
        <v/>
      </c>
      <c r="O220" s="4" t="inlineStr">
        <is>
          <t>VESSEL FRONT HD785, VESSEL SIDE HD785</t>
        </is>
      </c>
      <c r="P220" s="5" t="inlineStr">
        <is>
          <t>Komatsu</t>
        </is>
      </c>
      <c r="Q220" s="14" t="inlineStr">
        <is>
          <t>HD785</t>
        </is>
      </c>
      <c r="R220" s="7" t="n">
        <v>31733.2</v>
      </c>
      <c r="S220" s="7">
        <f>IFERROR($R220/$G220,"")</f>
        <v/>
      </c>
      <c r="T220" s="7" t="inlineStr">
        <is>
          <t>NA</t>
        </is>
      </c>
      <c r="U220" s="7" t="inlineStr">
        <is>
          <t>NA</t>
        </is>
      </c>
      <c r="V220" s="7" t="inlineStr">
        <is>
          <t>NA</t>
        </is>
      </c>
      <c r="W220" s="9">
        <f>IF(ISNUMBER($T220),$T220*$J220*Assumptions!$B$4,"NA")</f>
        <v/>
      </c>
      <c r="X220" s="9">
        <f>IF(ISNUMBER($U220),$U220*$J220*Assumptions!$B$4,"NA")</f>
        <v/>
      </c>
      <c r="Y220" s="9">
        <f>IF(ISNUMBER($V220),$V220*$J220*Assumptions!$B$4,"NA")</f>
        <v/>
      </c>
    </row>
    <row r="221">
      <c r="A221" s="5" t="inlineStr">
        <is>
          <t>Katsushiro</t>
        </is>
      </c>
      <c r="B221" s="5" t="inlineStr">
        <is>
          <t>Body panels</t>
        </is>
      </c>
      <c r="C221" s="5" t="inlineStr">
        <is>
          <t>AST Trading Inc</t>
        </is>
      </c>
      <c r="D221" s="5" t="inlineStr">
        <is>
          <t>Trader/Distributor</t>
        </is>
      </c>
      <c r="E221" s="5" t="inlineStr">
        <is>
          <t>United States</t>
        </is>
      </c>
      <c r="F221" s="5" t="n">
        <v>2024</v>
      </c>
      <c r="G221" s="5" t="n">
        <v>12</v>
      </c>
      <c r="H221" s="7" t="n">
        <v>4589</v>
      </c>
      <c r="I221" s="5" t="inlineStr">
        <is>
          <t>USD</t>
        </is>
      </c>
      <c r="J221" s="8">
        <f>IF($I221="AUD",Assumptions!$B$2,Assumptions!$B$3)</f>
        <v/>
      </c>
      <c r="K221" s="9">
        <f>$G221*$H221*$J221</f>
        <v/>
      </c>
      <c r="L221" s="9">
        <f>$K221*Assumptions!$B$4</f>
        <v/>
      </c>
      <c r="M221" s="9">
        <f>RawTx[[#This Row],[Value USD]]/RawTx[[#This Row],[Quantity]]</f>
        <v/>
      </c>
      <c r="N221" s="9">
        <f>RawTx[[#This Row],[Value IDR]]/RawTx[[#This Row],[Quantity]]</f>
        <v/>
      </c>
      <c r="O221" s="4" t="inlineStr">
        <is>
          <t>VESSEL SIDE HD605</t>
        </is>
      </c>
      <c r="P221" s="5" t="inlineStr">
        <is>
          <t>Komatsu</t>
        </is>
      </c>
      <c r="Q221" s="13" t="inlineStr">
        <is>
          <t>HD605</t>
        </is>
      </c>
      <c r="R221" s="7" t="n">
        <v>17862</v>
      </c>
      <c r="S221" s="7">
        <f>IFERROR($R221/$G221,"")</f>
        <v/>
      </c>
      <c r="T221" s="7" t="inlineStr">
        <is>
          <t>NA</t>
        </is>
      </c>
      <c r="U221" s="7" t="inlineStr">
        <is>
          <t>NA</t>
        </is>
      </c>
      <c r="V221" s="7" t="inlineStr">
        <is>
          <t>NA</t>
        </is>
      </c>
      <c r="W221" s="9">
        <f>IF(ISNUMBER($T221),$T221*$J221*Assumptions!$B$4,"NA")</f>
        <v/>
      </c>
      <c r="X221" s="9">
        <f>IF(ISNUMBER($U221),$U221*$J221*Assumptions!$B$4,"NA")</f>
        <v/>
      </c>
      <c r="Y221" s="9">
        <f>IF(ISNUMBER($V221),$V221*$J221*Assumptions!$B$4,"NA")</f>
        <v/>
      </c>
    </row>
    <row r="222">
      <c r="A222" s="5" t="inlineStr">
        <is>
          <t>Katsushiro</t>
        </is>
      </c>
      <c r="B222" s="5" t="inlineStr">
        <is>
          <t>Body panels</t>
        </is>
      </c>
      <c r="C222" s="5" t="inlineStr">
        <is>
          <t>AST Trading Inc</t>
        </is>
      </c>
      <c r="D222" s="5" t="inlineStr">
        <is>
          <t>Trader/Distributor</t>
        </is>
      </c>
      <c r="E222" s="5" t="inlineStr">
        <is>
          <t>United States</t>
        </is>
      </c>
      <c r="F222" s="5" t="n">
        <v>2024</v>
      </c>
      <c r="G222" s="5" t="n">
        <v>12</v>
      </c>
      <c r="H222" s="7" t="n">
        <v>4589</v>
      </c>
      <c r="I222" s="5" t="inlineStr">
        <is>
          <t>USD</t>
        </is>
      </c>
      <c r="J222" s="8">
        <f>IF($I222="AUD",Assumptions!$B$2,Assumptions!$B$3)</f>
        <v/>
      </c>
      <c r="K222" s="9">
        <f>$G222*$H222*$J222</f>
        <v/>
      </c>
      <c r="L222" s="9">
        <f>$K222*Assumptions!$B$4</f>
        <v/>
      </c>
      <c r="M222" s="9">
        <f>RawTx[[#This Row],[Value USD]]/RawTx[[#This Row],[Quantity]]</f>
        <v/>
      </c>
      <c r="N222" s="9">
        <f>RawTx[[#This Row],[Value IDR]]/RawTx[[#This Row],[Quantity]]</f>
        <v/>
      </c>
      <c r="O222" s="4" t="inlineStr">
        <is>
          <t>VESSEL SIDE HD605</t>
        </is>
      </c>
      <c r="P222" s="5" t="inlineStr">
        <is>
          <t>Komatsu</t>
        </is>
      </c>
      <c r="Q222" s="13" t="inlineStr">
        <is>
          <t>HD605</t>
        </is>
      </c>
      <c r="R222" s="7" t="n">
        <v>17862</v>
      </c>
      <c r="S222" s="7">
        <f>IFERROR($R222/$G222,"")</f>
        <v/>
      </c>
      <c r="T222" s="7" t="inlineStr">
        <is>
          <t>NA</t>
        </is>
      </c>
      <c r="U222" s="7" t="inlineStr">
        <is>
          <t>NA</t>
        </is>
      </c>
      <c r="V222" s="7" t="inlineStr">
        <is>
          <t>NA</t>
        </is>
      </c>
      <c r="W222" s="9">
        <f>IF(ISNUMBER($T222),$T222*$J222*Assumptions!$B$4,"NA")</f>
        <v/>
      </c>
      <c r="X222" s="9">
        <f>IF(ISNUMBER($U222),$U222*$J222*Assumptions!$B$4,"NA")</f>
        <v/>
      </c>
      <c r="Y222" s="9">
        <f>IF(ISNUMBER($V222),$V222*$J222*Assumptions!$B$4,"NA")</f>
        <v/>
      </c>
    </row>
    <row r="223">
      <c r="A223" s="5" t="inlineStr">
        <is>
          <t>Katsushiro</t>
        </is>
      </c>
      <c r="B223" s="5" t="inlineStr">
        <is>
          <t>Body panels</t>
        </is>
      </c>
      <c r="C223" s="5" t="inlineStr">
        <is>
          <t>AST Trading Inc</t>
        </is>
      </c>
      <c r="D223" s="5" t="inlineStr">
        <is>
          <t>Trader/Distributor</t>
        </is>
      </c>
      <c r="E223" s="5" t="inlineStr">
        <is>
          <t>United States</t>
        </is>
      </c>
      <c r="F223" s="5" t="n">
        <v>2024</v>
      </c>
      <c r="G223" s="5" t="n">
        <v>8</v>
      </c>
      <c r="H223" s="7" t="n">
        <v>8645.51</v>
      </c>
      <c r="I223" s="5" t="inlineStr">
        <is>
          <t>USD</t>
        </is>
      </c>
      <c r="J223" s="8">
        <f>IF($I223="AUD",Assumptions!$B$2,Assumptions!$B$3)</f>
        <v/>
      </c>
      <c r="K223" s="9">
        <f>$G223*$H223*$J223</f>
        <v/>
      </c>
      <c r="L223" s="9">
        <f>$K223*Assumptions!$B$4</f>
        <v/>
      </c>
      <c r="M223" s="9">
        <f>RawTx[[#This Row],[Value USD]]/RawTx[[#This Row],[Quantity]]</f>
        <v/>
      </c>
      <c r="N223" s="9">
        <f>RawTx[[#This Row],[Value IDR]]/RawTx[[#This Row],[Quantity]]</f>
        <v/>
      </c>
      <c r="O223" s="4" t="inlineStr">
        <is>
          <t>VESSEL FRONT HD605</t>
        </is>
      </c>
      <c r="P223" s="5" t="inlineStr">
        <is>
          <t>Komatsu</t>
        </is>
      </c>
      <c r="Q223" s="13" t="inlineStr">
        <is>
          <t>HD605</t>
        </is>
      </c>
      <c r="R223" s="7" t="n">
        <v>23722.2</v>
      </c>
      <c r="S223" s="7">
        <f>IFERROR($R223/$G223,"")</f>
        <v/>
      </c>
      <c r="T223" s="7" t="inlineStr">
        <is>
          <t>NA</t>
        </is>
      </c>
      <c r="U223" s="7" t="inlineStr">
        <is>
          <t>NA</t>
        </is>
      </c>
      <c r="V223" s="7" t="inlineStr">
        <is>
          <t>NA</t>
        </is>
      </c>
      <c r="W223" s="9">
        <f>IF(ISNUMBER($T223),$T223*$J223*Assumptions!$B$4,"NA")</f>
        <v/>
      </c>
      <c r="X223" s="9">
        <f>IF(ISNUMBER($U223),$U223*$J223*Assumptions!$B$4,"NA")</f>
        <v/>
      </c>
      <c r="Y223" s="9">
        <f>IF(ISNUMBER($V223),$V223*$J223*Assumptions!$B$4,"NA")</f>
        <v/>
      </c>
    </row>
    <row r="224">
      <c r="A224" s="5" t="inlineStr">
        <is>
          <t>Katsushiro</t>
        </is>
      </c>
      <c r="B224" s="5" t="inlineStr">
        <is>
          <t>Body panels</t>
        </is>
      </c>
      <c r="C224" s="5" t="inlineStr">
        <is>
          <t>AST Trading Inc</t>
        </is>
      </c>
      <c r="D224" s="5" t="inlineStr">
        <is>
          <t>Trader/Distributor</t>
        </is>
      </c>
      <c r="E224" s="5" t="inlineStr">
        <is>
          <t>United States</t>
        </is>
      </c>
      <c r="F224" s="5" t="n">
        <v>2024</v>
      </c>
      <c r="G224" s="5" t="n">
        <v>12</v>
      </c>
      <c r="H224" s="7" t="n">
        <v>4588.99</v>
      </c>
      <c r="I224" s="5" t="inlineStr">
        <is>
          <t>USD</t>
        </is>
      </c>
      <c r="J224" s="8">
        <f>IF($I224="AUD",Assumptions!$B$2,Assumptions!$B$3)</f>
        <v/>
      </c>
      <c r="K224" s="9">
        <f>$G224*$H224*$J224</f>
        <v/>
      </c>
      <c r="L224" s="9">
        <f>$K224*Assumptions!$B$4</f>
        <v/>
      </c>
      <c r="M224" s="9">
        <f>RawTx[[#This Row],[Value USD]]/RawTx[[#This Row],[Quantity]]</f>
        <v/>
      </c>
      <c r="N224" s="9">
        <f>RawTx[[#This Row],[Value IDR]]/RawTx[[#This Row],[Quantity]]</f>
        <v/>
      </c>
      <c r="O224" s="4" t="inlineStr">
        <is>
          <t>VESSEL SIDE HD605</t>
        </is>
      </c>
      <c r="P224" s="5" t="inlineStr">
        <is>
          <t>Komatsu</t>
        </is>
      </c>
      <c r="Q224" s="13" t="inlineStr">
        <is>
          <t>HD605</t>
        </is>
      </c>
      <c r="R224" s="7" t="n">
        <v>25519.8</v>
      </c>
      <c r="S224" s="7">
        <f>IFERROR($R224/$G224,"")</f>
        <v/>
      </c>
      <c r="T224" s="7" t="inlineStr">
        <is>
          <t>NA</t>
        </is>
      </c>
      <c r="U224" s="7" t="inlineStr">
        <is>
          <t>NA</t>
        </is>
      </c>
      <c r="V224" s="7" t="inlineStr">
        <is>
          <t>NA</t>
        </is>
      </c>
      <c r="W224" s="9">
        <f>IF(ISNUMBER($T224),$T224*$J224*Assumptions!$B$4,"NA")</f>
        <v/>
      </c>
      <c r="X224" s="9">
        <f>IF(ISNUMBER($U224),$U224*$J224*Assumptions!$B$4,"NA")</f>
        <v/>
      </c>
      <c r="Y224" s="9">
        <f>IF(ISNUMBER($V224),$V224*$J224*Assumptions!$B$4,"NA")</f>
        <v/>
      </c>
    </row>
    <row r="225">
      <c r="A225" s="5" t="inlineStr">
        <is>
          <t>Katsushiro</t>
        </is>
      </c>
      <c r="B225" s="5" t="inlineStr">
        <is>
          <t>Body panels</t>
        </is>
      </c>
      <c r="C225" s="5" t="inlineStr">
        <is>
          <t>AST Trading Inc</t>
        </is>
      </c>
      <c r="D225" s="5" t="inlineStr">
        <is>
          <t>Trader/Distributor</t>
        </is>
      </c>
      <c r="E225" s="5" t="inlineStr">
        <is>
          <t>United States</t>
        </is>
      </c>
      <c r="F225" s="5" t="n">
        <v>2024</v>
      </c>
      <c r="G225" s="5" t="n">
        <v>35</v>
      </c>
      <c r="H225" s="7" t="n">
        <v>1282.26</v>
      </c>
      <c r="I225" s="5" t="inlineStr">
        <is>
          <t>USD</t>
        </is>
      </c>
      <c r="J225" s="8">
        <f>IF($I225="AUD",Assumptions!$B$2,Assumptions!$B$3)</f>
        <v/>
      </c>
      <c r="K225" s="9">
        <f>$G225*$H225*$J225</f>
        <v/>
      </c>
      <c r="L225" s="9">
        <f>$K225*Assumptions!$B$4</f>
        <v/>
      </c>
      <c r="M225" s="9">
        <f>RawTx[[#This Row],[Value USD]]/RawTx[[#This Row],[Quantity]]</f>
        <v/>
      </c>
      <c r="N225" s="9">
        <f>RawTx[[#This Row],[Value IDR]]/RawTx[[#This Row],[Quantity]]</f>
        <v/>
      </c>
      <c r="O225" s="4" t="inlineStr">
        <is>
          <t>VESSEL FRONT HD605</t>
        </is>
      </c>
      <c r="P225" s="5" t="inlineStr">
        <is>
          <t>Komatsu</t>
        </is>
      </c>
      <c r="Q225" s="13" t="inlineStr">
        <is>
          <t>HD605</t>
        </is>
      </c>
      <c r="R225" s="7" t="n">
        <v>14826.4</v>
      </c>
      <c r="S225" s="7">
        <f>IFERROR($R225/$G225,"")</f>
        <v/>
      </c>
      <c r="T225" s="7" t="inlineStr">
        <is>
          <t>NA</t>
        </is>
      </c>
      <c r="U225" s="7" t="inlineStr">
        <is>
          <t>NA</t>
        </is>
      </c>
      <c r="V225" s="7" t="inlineStr">
        <is>
          <t>NA</t>
        </is>
      </c>
      <c r="W225" s="9">
        <f>IF(ISNUMBER($T225),$T225*$J225*Assumptions!$B$4,"NA")</f>
        <v/>
      </c>
      <c r="X225" s="9">
        <f>IF(ISNUMBER($U225),$U225*$J225*Assumptions!$B$4,"NA")</f>
        <v/>
      </c>
      <c r="Y225" s="9">
        <f>IF(ISNUMBER($V225),$V225*$J225*Assumptions!$B$4,"NA")</f>
        <v/>
      </c>
    </row>
    <row r="226">
      <c r="A226" s="5" t="inlineStr">
        <is>
          <t>Katsushiro</t>
        </is>
      </c>
      <c r="B226" s="5" t="inlineStr">
        <is>
          <t>Body panels</t>
        </is>
      </c>
      <c r="C226" s="5" t="inlineStr">
        <is>
          <t>AST Trading Inc</t>
        </is>
      </c>
      <c r="D226" s="5" t="inlineStr">
        <is>
          <t>Trader/Distributor</t>
        </is>
      </c>
      <c r="E226" s="5" t="inlineStr">
        <is>
          <t>United States</t>
        </is>
      </c>
      <c r="F226" s="5" t="n">
        <v>2024</v>
      </c>
      <c r="G226" s="5" t="n">
        <v>6</v>
      </c>
      <c r="H226" s="7" t="n">
        <v>8105.78</v>
      </c>
      <c r="I226" s="5" t="inlineStr">
        <is>
          <t>USD</t>
        </is>
      </c>
      <c r="J226" s="8">
        <f>IF($I226="AUD",Assumptions!$B$2,Assumptions!$B$3)</f>
        <v/>
      </c>
      <c r="K226" s="9">
        <f>$G226*$H226*$J226</f>
        <v/>
      </c>
      <c r="L226" s="9">
        <f>$K226*Assumptions!$B$4</f>
        <v/>
      </c>
      <c r="M226" s="9">
        <f>RawTx[[#This Row],[Value USD]]/RawTx[[#This Row],[Quantity]]</f>
        <v/>
      </c>
      <c r="N226" s="9">
        <f>RawTx[[#This Row],[Value IDR]]/RawTx[[#This Row],[Quantity]]</f>
        <v/>
      </c>
      <c r="O226" s="4" t="inlineStr">
        <is>
          <t>VESSEL FRONT HD785</t>
        </is>
      </c>
      <c r="P226" s="5" t="inlineStr">
        <is>
          <t>Komatsu</t>
        </is>
      </c>
      <c r="Q226" s="14" t="inlineStr">
        <is>
          <t>HD785</t>
        </is>
      </c>
      <c r="R226" s="7" t="n">
        <v>15037.8</v>
      </c>
      <c r="S226" s="7">
        <f>IFERROR($R226/$G226,"")</f>
        <v/>
      </c>
      <c r="T226" s="7" t="inlineStr">
        <is>
          <t>NA</t>
        </is>
      </c>
      <c r="U226" s="7" t="inlineStr">
        <is>
          <t>NA</t>
        </is>
      </c>
      <c r="V226" s="7" t="inlineStr">
        <is>
          <t>NA</t>
        </is>
      </c>
      <c r="W226" s="9">
        <f>IF(ISNUMBER($T226),$T226*$J226*Assumptions!$B$4,"NA")</f>
        <v/>
      </c>
      <c r="X226" s="9">
        <f>IF(ISNUMBER($U226),$U226*$J226*Assumptions!$B$4,"NA")</f>
        <v/>
      </c>
      <c r="Y226" s="9">
        <f>IF(ISNUMBER($V226),$V226*$J226*Assumptions!$B$4,"NA")</f>
        <v/>
      </c>
    </row>
    <row r="227">
      <c r="A227" s="5" t="inlineStr">
        <is>
          <t>Katsushiro</t>
        </is>
      </c>
      <c r="B227" s="5" t="inlineStr">
        <is>
          <t>Body panels</t>
        </is>
      </c>
      <c r="C227" s="5" t="inlineStr">
        <is>
          <t>AST Trading Inc</t>
        </is>
      </c>
      <c r="D227" s="5" t="inlineStr">
        <is>
          <t>Trader/Distributor</t>
        </is>
      </c>
      <c r="E227" s="5" t="inlineStr">
        <is>
          <t>United States</t>
        </is>
      </c>
      <c r="F227" s="5" t="n">
        <v>2024</v>
      </c>
      <c r="G227" s="5" t="n">
        <v>8</v>
      </c>
      <c r="H227" s="7" t="n">
        <v>6365.54</v>
      </c>
      <c r="I227" s="5" t="inlineStr">
        <is>
          <t>USD</t>
        </is>
      </c>
      <c r="J227" s="8">
        <f>IF($I227="AUD",Assumptions!$B$2,Assumptions!$B$3)</f>
        <v/>
      </c>
      <c r="K227" s="9">
        <f>$G227*$H227*$J227</f>
        <v/>
      </c>
      <c r="L227" s="9">
        <f>$K227*Assumptions!$B$4</f>
        <v/>
      </c>
      <c r="M227" s="9">
        <f>RawTx[[#This Row],[Value USD]]/RawTx[[#This Row],[Quantity]]</f>
        <v/>
      </c>
      <c r="N227" s="9">
        <f>RawTx[[#This Row],[Value IDR]]/RawTx[[#This Row],[Quantity]]</f>
        <v/>
      </c>
      <c r="O227" s="4" t="inlineStr">
        <is>
          <t>VESSEL FRONT HD605</t>
        </is>
      </c>
      <c r="P227" s="5" t="inlineStr">
        <is>
          <t>Komatsu</t>
        </is>
      </c>
      <c r="Q227" s="13" t="inlineStr">
        <is>
          <t>HD605</t>
        </is>
      </c>
      <c r="R227" s="7" t="n">
        <v>15275</v>
      </c>
      <c r="S227" s="7">
        <f>IFERROR($R227/$G227,"")</f>
        <v/>
      </c>
      <c r="T227" s="7" t="inlineStr">
        <is>
          <t>NA</t>
        </is>
      </c>
      <c r="U227" s="7" t="inlineStr">
        <is>
          <t>NA</t>
        </is>
      </c>
      <c r="V227" s="7" t="inlineStr">
        <is>
          <t>NA</t>
        </is>
      </c>
      <c r="W227" s="9">
        <f>IF(ISNUMBER($T227),$T227*$J227*Assumptions!$B$4,"NA")</f>
        <v/>
      </c>
      <c r="X227" s="9">
        <f>IF(ISNUMBER($U227),$U227*$J227*Assumptions!$B$4,"NA")</f>
        <v/>
      </c>
      <c r="Y227" s="9">
        <f>IF(ISNUMBER($V227),$V227*$J227*Assumptions!$B$4,"NA")</f>
        <v/>
      </c>
    </row>
    <row r="228">
      <c r="A228" s="5" t="inlineStr">
        <is>
          <t>Katsushiro</t>
        </is>
      </c>
      <c r="B228" s="5" t="inlineStr">
        <is>
          <t>Body panels</t>
        </is>
      </c>
      <c r="C228" s="5" t="inlineStr">
        <is>
          <t>AST Trading Inc</t>
        </is>
      </c>
      <c r="D228" s="5" t="inlineStr">
        <is>
          <t>Trader/Distributor</t>
        </is>
      </c>
      <c r="E228" s="5" t="inlineStr">
        <is>
          <t>United States</t>
        </is>
      </c>
      <c r="F228" s="5" t="n">
        <v>2024</v>
      </c>
      <c r="G228" s="5" t="n">
        <v>12</v>
      </c>
      <c r="H228" s="7" t="n">
        <v>4927.66</v>
      </c>
      <c r="I228" s="5" t="inlineStr">
        <is>
          <t>USD</t>
        </is>
      </c>
      <c r="J228" s="8">
        <f>IF($I228="AUD",Assumptions!$B$2,Assumptions!$B$3)</f>
        <v/>
      </c>
      <c r="K228" s="9">
        <f>$G228*$H228*$J228</f>
        <v/>
      </c>
      <c r="L228" s="9">
        <f>$K228*Assumptions!$B$4</f>
        <v/>
      </c>
      <c r="M228" s="9">
        <f>RawTx[[#This Row],[Value USD]]/RawTx[[#This Row],[Quantity]]</f>
        <v/>
      </c>
      <c r="N228" s="9">
        <f>RawTx[[#This Row],[Value IDR]]/RawTx[[#This Row],[Quantity]]</f>
        <v/>
      </c>
      <c r="O228" s="4" t="inlineStr">
        <is>
          <t>SIDE BODY HD605</t>
        </is>
      </c>
      <c r="P228" s="5" t="inlineStr">
        <is>
          <t>Komatsu</t>
        </is>
      </c>
      <c r="Q228" s="13" t="inlineStr">
        <is>
          <t>HD605</t>
        </is>
      </c>
      <c r="R228" s="7" t="n">
        <v>16347.2</v>
      </c>
      <c r="S228" s="7">
        <f>IFERROR($R228/$G228,"")</f>
        <v/>
      </c>
      <c r="T228" s="7" t="inlineStr">
        <is>
          <t>NA</t>
        </is>
      </c>
      <c r="U228" s="7" t="inlineStr">
        <is>
          <t>NA</t>
        </is>
      </c>
      <c r="V228" s="7" t="inlineStr">
        <is>
          <t>NA</t>
        </is>
      </c>
      <c r="W228" s="9">
        <f>IF(ISNUMBER($T228),$T228*$J228*Assumptions!$B$4,"NA")</f>
        <v/>
      </c>
      <c r="X228" s="9">
        <f>IF(ISNUMBER($U228),$U228*$J228*Assumptions!$B$4,"NA")</f>
        <v/>
      </c>
      <c r="Y228" s="9">
        <f>IF(ISNUMBER($V228),$V228*$J228*Assumptions!$B$4,"NA")</f>
        <v/>
      </c>
    </row>
    <row r="229">
      <c r="A229" s="5" t="inlineStr">
        <is>
          <t>Katsushiro</t>
        </is>
      </c>
      <c r="B229" s="5" t="inlineStr">
        <is>
          <t>Body panels</t>
        </is>
      </c>
      <c r="C229" s="5" t="inlineStr">
        <is>
          <t>AST Trading Inc</t>
        </is>
      </c>
      <c r="D229" s="5" t="inlineStr">
        <is>
          <t>Trader/Distributor</t>
        </is>
      </c>
      <c r="E229" s="5" t="inlineStr">
        <is>
          <t>United States</t>
        </is>
      </c>
      <c r="F229" s="5" t="n">
        <v>2024</v>
      </c>
      <c r="G229" s="5" t="n">
        <v>12</v>
      </c>
      <c r="H229" s="7" t="n">
        <v>4927.66</v>
      </c>
      <c r="I229" s="5" t="inlineStr">
        <is>
          <t>USD</t>
        </is>
      </c>
      <c r="J229" s="8">
        <f>IF($I229="AUD",Assumptions!$B$2,Assumptions!$B$3)</f>
        <v/>
      </c>
      <c r="K229" s="9">
        <f>$G229*$H229*$J229</f>
        <v/>
      </c>
      <c r="L229" s="9">
        <f>$K229*Assumptions!$B$4</f>
        <v/>
      </c>
      <c r="M229" s="9">
        <f>RawTx[[#This Row],[Value USD]]/RawTx[[#This Row],[Quantity]]</f>
        <v/>
      </c>
      <c r="N229" s="9">
        <f>RawTx[[#This Row],[Value IDR]]/RawTx[[#This Row],[Quantity]]</f>
        <v/>
      </c>
      <c r="O229" s="4" t="inlineStr">
        <is>
          <t>SIDE BODY HD605</t>
        </is>
      </c>
      <c r="P229" s="5" t="inlineStr">
        <is>
          <t>Komatsu</t>
        </is>
      </c>
      <c r="Q229" s="13" t="inlineStr">
        <is>
          <t>HD605</t>
        </is>
      </c>
      <c r="R229" s="7" t="n">
        <v>16347.2</v>
      </c>
      <c r="S229" s="7">
        <f>IFERROR($R229/$G229,"")</f>
        <v/>
      </c>
      <c r="T229" s="7" t="inlineStr">
        <is>
          <t>NA</t>
        </is>
      </c>
      <c r="U229" s="7" t="inlineStr">
        <is>
          <t>NA</t>
        </is>
      </c>
      <c r="V229" s="7" t="inlineStr">
        <is>
          <t>NA</t>
        </is>
      </c>
      <c r="W229" s="9">
        <f>IF(ISNUMBER($T229),$T229*$J229*Assumptions!$B$4,"NA")</f>
        <v/>
      </c>
      <c r="X229" s="9">
        <f>IF(ISNUMBER($U229),$U229*$J229*Assumptions!$B$4,"NA")</f>
        <v/>
      </c>
      <c r="Y229" s="9">
        <f>IF(ISNUMBER($V229),$V229*$J229*Assumptions!$B$4,"NA")</f>
        <v/>
      </c>
    </row>
    <row r="230">
      <c r="A230" s="5" t="inlineStr">
        <is>
          <t>Katsushiro</t>
        </is>
      </c>
      <c r="B230" s="5" t="inlineStr">
        <is>
          <t>Body panels</t>
        </is>
      </c>
      <c r="C230" s="5" t="inlineStr">
        <is>
          <t>AST Trading Inc</t>
        </is>
      </c>
      <c r="D230" s="5" t="inlineStr">
        <is>
          <t>Trader/Distributor</t>
        </is>
      </c>
      <c r="E230" s="5" t="inlineStr">
        <is>
          <t>United States</t>
        </is>
      </c>
      <c r="F230" s="5" t="n">
        <v>2024</v>
      </c>
      <c r="G230" s="5" t="n">
        <v>8</v>
      </c>
      <c r="H230" s="7" t="n">
        <v>6488.94</v>
      </c>
      <c r="I230" s="5" t="inlineStr">
        <is>
          <t>USD</t>
        </is>
      </c>
      <c r="J230" s="8">
        <f>IF($I230="AUD",Assumptions!$B$2,Assumptions!$B$3)</f>
        <v/>
      </c>
      <c r="K230" s="9">
        <f>$G230*$H230*$J230</f>
        <v/>
      </c>
      <c r="L230" s="9">
        <f>$K230*Assumptions!$B$4</f>
        <v/>
      </c>
      <c r="M230" s="9">
        <f>RawTx[[#This Row],[Value USD]]/RawTx[[#This Row],[Quantity]]</f>
        <v/>
      </c>
      <c r="N230" s="9">
        <f>RawTx[[#This Row],[Value IDR]]/RawTx[[#This Row],[Quantity]]</f>
        <v/>
      </c>
      <c r="O230" s="4" t="inlineStr">
        <is>
          <t>VESSEL FRONT HD605</t>
        </is>
      </c>
      <c r="P230" s="5" t="inlineStr">
        <is>
          <t>Komatsu</t>
        </is>
      </c>
      <c r="Q230" s="13" t="inlineStr">
        <is>
          <t>HD605</t>
        </is>
      </c>
      <c r="R230" s="7" t="n">
        <v>14294.6</v>
      </c>
      <c r="S230" s="7">
        <f>IFERROR($R230/$G230,"")</f>
        <v/>
      </c>
      <c r="T230" s="7" t="inlineStr">
        <is>
          <t>NA</t>
        </is>
      </c>
      <c r="U230" s="7" t="inlineStr">
        <is>
          <t>NA</t>
        </is>
      </c>
      <c r="V230" s="7" t="inlineStr">
        <is>
          <t>NA</t>
        </is>
      </c>
      <c r="W230" s="9">
        <f>IF(ISNUMBER($T230),$T230*$J230*Assumptions!$B$4,"NA")</f>
        <v/>
      </c>
      <c r="X230" s="9">
        <f>IF(ISNUMBER($U230),$U230*$J230*Assumptions!$B$4,"NA")</f>
        <v/>
      </c>
      <c r="Y230" s="9">
        <f>IF(ISNUMBER($V230),$V230*$J230*Assumptions!$B$4,"NA")</f>
        <v/>
      </c>
    </row>
    <row r="231">
      <c r="A231" s="5" t="inlineStr">
        <is>
          <t>Katsushiro</t>
        </is>
      </c>
      <c r="B231" s="5" t="inlineStr">
        <is>
          <t>Body panels</t>
        </is>
      </c>
      <c r="C231" s="5" t="inlineStr">
        <is>
          <t>AST Trading Inc</t>
        </is>
      </c>
      <c r="D231" s="5" t="inlineStr">
        <is>
          <t>Trader/Distributor</t>
        </is>
      </c>
      <c r="E231" s="5" t="inlineStr">
        <is>
          <t>United States</t>
        </is>
      </c>
      <c r="F231" s="5" t="n">
        <v>2024</v>
      </c>
      <c r="G231" s="5" t="n">
        <v>12</v>
      </c>
      <c r="H231" s="7" t="n">
        <v>4927.66</v>
      </c>
      <c r="I231" s="5" t="inlineStr">
        <is>
          <t>USD</t>
        </is>
      </c>
      <c r="J231" s="8">
        <f>IF($I231="AUD",Assumptions!$B$2,Assumptions!$B$3)</f>
        <v/>
      </c>
      <c r="K231" s="9">
        <f>$G231*$H231*$J231</f>
        <v/>
      </c>
      <c r="L231" s="9">
        <f>$K231*Assumptions!$B$4</f>
        <v/>
      </c>
      <c r="M231" s="9">
        <f>RawTx[[#This Row],[Value USD]]/RawTx[[#This Row],[Quantity]]</f>
        <v/>
      </c>
      <c r="N231" s="9">
        <f>RawTx[[#This Row],[Value IDR]]/RawTx[[#This Row],[Quantity]]</f>
        <v/>
      </c>
      <c r="O231" s="4" t="inlineStr">
        <is>
          <t>VESSEL SIDE HD605</t>
        </is>
      </c>
      <c r="P231" s="5" t="inlineStr">
        <is>
          <t>Komatsu</t>
        </is>
      </c>
      <c r="Q231" s="13" t="inlineStr">
        <is>
          <t>HD605</t>
        </is>
      </c>
      <c r="R231" s="7" t="n">
        <v>16347.2</v>
      </c>
      <c r="S231" s="7">
        <f>IFERROR($R231/$G231,"")</f>
        <v/>
      </c>
      <c r="T231" s="7" t="inlineStr">
        <is>
          <t>NA</t>
        </is>
      </c>
      <c r="U231" s="7" t="inlineStr">
        <is>
          <t>NA</t>
        </is>
      </c>
      <c r="V231" s="7" t="inlineStr">
        <is>
          <t>NA</t>
        </is>
      </c>
      <c r="W231" s="9">
        <f>IF(ISNUMBER($T231),$T231*$J231*Assumptions!$B$4,"NA")</f>
        <v/>
      </c>
      <c r="X231" s="9">
        <f>IF(ISNUMBER($U231),$U231*$J231*Assumptions!$B$4,"NA")</f>
        <v/>
      </c>
      <c r="Y231" s="9">
        <f>IF(ISNUMBER($V231),$V231*$J231*Assumptions!$B$4,"NA")</f>
        <v/>
      </c>
    </row>
    <row r="232">
      <c r="A232" s="5" t="inlineStr">
        <is>
          <t>Katsushiro</t>
        </is>
      </c>
      <c r="B232" s="5" t="inlineStr">
        <is>
          <t>Body panels</t>
        </is>
      </c>
      <c r="C232" s="5" t="inlineStr">
        <is>
          <t>AST Trading Inc</t>
        </is>
      </c>
      <c r="D232" s="5" t="inlineStr">
        <is>
          <t>Trader/Distributor</t>
        </is>
      </c>
      <c r="E232" s="5" t="inlineStr">
        <is>
          <t>United States</t>
        </is>
      </c>
      <c r="F232" s="5" t="n">
        <v>2024</v>
      </c>
      <c r="G232" s="5" t="n">
        <v>8</v>
      </c>
      <c r="H232" s="7" t="n">
        <v>6488.94</v>
      </c>
      <c r="I232" s="5" t="inlineStr">
        <is>
          <t>USD</t>
        </is>
      </c>
      <c r="J232" s="8">
        <f>IF($I232="AUD",Assumptions!$B$2,Assumptions!$B$3)</f>
        <v/>
      </c>
      <c r="K232" s="9">
        <f>$G232*$H232*$J232</f>
        <v/>
      </c>
      <c r="L232" s="9">
        <f>$K232*Assumptions!$B$4</f>
        <v/>
      </c>
      <c r="M232" s="9">
        <f>RawTx[[#This Row],[Value USD]]/RawTx[[#This Row],[Quantity]]</f>
        <v/>
      </c>
      <c r="N232" s="9">
        <f>RawTx[[#This Row],[Value IDR]]/RawTx[[#This Row],[Quantity]]</f>
        <v/>
      </c>
      <c r="O232" s="4" t="inlineStr">
        <is>
          <t>VESSEL FRONT HD605</t>
        </is>
      </c>
      <c r="P232" s="5" t="inlineStr">
        <is>
          <t>Komatsu</t>
        </is>
      </c>
      <c r="Q232" s="13" t="inlineStr">
        <is>
          <t>HD605</t>
        </is>
      </c>
      <c r="R232" s="7" t="n">
        <v>14294.6</v>
      </c>
      <c r="S232" s="7">
        <f>IFERROR($R232/$G232,"")</f>
        <v/>
      </c>
      <c r="T232" s="7" t="inlineStr">
        <is>
          <t>NA</t>
        </is>
      </c>
      <c r="U232" s="7" t="inlineStr">
        <is>
          <t>NA</t>
        </is>
      </c>
      <c r="V232" s="7" t="inlineStr">
        <is>
          <t>NA</t>
        </is>
      </c>
      <c r="W232" s="9">
        <f>IF(ISNUMBER($T232),$T232*$J232*Assumptions!$B$4,"NA")</f>
        <v/>
      </c>
      <c r="X232" s="9">
        <f>IF(ISNUMBER($U232),$U232*$J232*Assumptions!$B$4,"NA")</f>
        <v/>
      </c>
      <c r="Y232" s="9">
        <f>IF(ISNUMBER($V232),$V232*$J232*Assumptions!$B$4,"NA")</f>
        <v/>
      </c>
    </row>
    <row r="233">
      <c r="A233" s="5" t="inlineStr">
        <is>
          <t>Katsushiro</t>
        </is>
      </c>
      <c r="B233" s="5" t="inlineStr">
        <is>
          <t>Body panels</t>
        </is>
      </c>
      <c r="C233" s="5" t="inlineStr">
        <is>
          <t>AST Trading Inc</t>
        </is>
      </c>
      <c r="D233" s="5" t="inlineStr">
        <is>
          <t>Trader/Distributor</t>
        </is>
      </c>
      <c r="E233" s="5" t="inlineStr">
        <is>
          <t>United States</t>
        </is>
      </c>
      <c r="F233" s="5" t="n">
        <v>2024</v>
      </c>
      <c r="G233" s="5" t="n">
        <v>12</v>
      </c>
      <c r="H233" s="7" t="n">
        <v>410.64</v>
      </c>
      <c r="I233" s="5" t="inlineStr">
        <is>
          <t>USD</t>
        </is>
      </c>
      <c r="J233" s="8">
        <f>IF($I233="AUD",Assumptions!$B$2,Assumptions!$B$3)</f>
        <v/>
      </c>
      <c r="K233" s="9">
        <f>$G233*$H233*$J233</f>
        <v/>
      </c>
      <c r="L233" s="9">
        <f>$K233*Assumptions!$B$4</f>
        <v/>
      </c>
      <c r="M233" s="9">
        <f>RawTx[[#This Row],[Value USD]]/RawTx[[#This Row],[Quantity]]</f>
        <v/>
      </c>
      <c r="N233" s="9">
        <f>RawTx[[#This Row],[Value IDR]]/RawTx[[#This Row],[Quantity]]</f>
        <v/>
      </c>
      <c r="O233" s="4" t="inlineStr">
        <is>
          <t>SIDE BODY HD605</t>
        </is>
      </c>
      <c r="P233" s="5" t="inlineStr">
        <is>
          <t>Komatsu</t>
        </is>
      </c>
      <c r="Q233" s="13" t="inlineStr">
        <is>
          <t>HD605</t>
        </is>
      </c>
      <c r="R233" s="7" t="n">
        <v>16347.2</v>
      </c>
      <c r="S233" s="7">
        <f>IFERROR($R233/$G233,"")</f>
        <v/>
      </c>
      <c r="T233" s="7" t="inlineStr">
        <is>
          <t>NA</t>
        </is>
      </c>
      <c r="U233" s="7" t="inlineStr">
        <is>
          <t>NA</t>
        </is>
      </c>
      <c r="V233" s="7" t="inlineStr">
        <is>
          <t>NA</t>
        </is>
      </c>
      <c r="W233" s="9">
        <f>IF(ISNUMBER($T233),$T233*$J233*Assumptions!$B$4,"NA")</f>
        <v/>
      </c>
      <c r="X233" s="9">
        <f>IF(ISNUMBER($U233),$U233*$J233*Assumptions!$B$4,"NA")</f>
        <v/>
      </c>
      <c r="Y233" s="9">
        <f>IF(ISNUMBER($V233),$V233*$J233*Assumptions!$B$4,"NA")</f>
        <v/>
      </c>
    </row>
    <row r="234">
      <c r="A234" s="5" t="inlineStr">
        <is>
          <t>Katsushiro</t>
        </is>
      </c>
      <c r="B234" s="5" t="inlineStr">
        <is>
          <t>Body panels</t>
        </is>
      </c>
      <c r="C234" s="5" t="inlineStr">
        <is>
          <t>AST Trading Inc</t>
        </is>
      </c>
      <c r="D234" s="5" t="inlineStr">
        <is>
          <t>Trader/Distributor</t>
        </is>
      </c>
      <c r="E234" s="5" t="inlineStr">
        <is>
          <t>United States</t>
        </is>
      </c>
      <c r="F234" s="5" t="n">
        <v>2024</v>
      </c>
      <c r="G234" s="5" t="n">
        <v>8</v>
      </c>
      <c r="H234" s="7" t="n">
        <v>6488.94</v>
      </c>
      <c r="I234" s="5" t="inlineStr">
        <is>
          <t>USD</t>
        </is>
      </c>
      <c r="J234" s="8">
        <f>IF($I234="AUD",Assumptions!$B$2,Assumptions!$B$3)</f>
        <v/>
      </c>
      <c r="K234" s="9">
        <f>$G234*$H234*$J234</f>
        <v/>
      </c>
      <c r="L234" s="9">
        <f>$K234*Assumptions!$B$4</f>
        <v/>
      </c>
      <c r="M234" s="9">
        <f>RawTx[[#This Row],[Value USD]]/RawTx[[#This Row],[Quantity]]</f>
        <v/>
      </c>
      <c r="N234" s="9">
        <f>RawTx[[#This Row],[Value IDR]]/RawTx[[#This Row],[Quantity]]</f>
        <v/>
      </c>
      <c r="O234" s="4" t="inlineStr">
        <is>
          <t>VESSEL FRONT HD605</t>
        </is>
      </c>
      <c r="P234" s="5" t="inlineStr">
        <is>
          <t>Komatsu</t>
        </is>
      </c>
      <c r="Q234" s="13" t="inlineStr">
        <is>
          <t>HD605</t>
        </is>
      </c>
      <c r="R234" s="7" t="n">
        <v>14294.6</v>
      </c>
      <c r="S234" s="7">
        <f>IFERROR($R234/$G234,"")</f>
        <v/>
      </c>
      <c r="T234" s="7" t="inlineStr">
        <is>
          <t>NA</t>
        </is>
      </c>
      <c r="U234" s="7" t="inlineStr">
        <is>
          <t>NA</t>
        </is>
      </c>
      <c r="V234" s="7" t="inlineStr">
        <is>
          <t>NA</t>
        </is>
      </c>
      <c r="W234" s="9">
        <f>IF(ISNUMBER($T234),$T234*$J234*Assumptions!$B$4,"NA")</f>
        <v/>
      </c>
      <c r="X234" s="9">
        <f>IF(ISNUMBER($U234),$U234*$J234*Assumptions!$B$4,"NA")</f>
        <v/>
      </c>
      <c r="Y234" s="9">
        <f>IF(ISNUMBER($V234),$V234*$J234*Assumptions!$B$4,"NA")</f>
        <v/>
      </c>
    </row>
    <row r="235">
      <c r="A235" s="5" t="inlineStr">
        <is>
          <t>Katsushiro</t>
        </is>
      </c>
      <c r="B235" s="5" t="inlineStr">
        <is>
          <t>Body panels</t>
        </is>
      </c>
      <c r="C235" s="5" t="inlineStr">
        <is>
          <t>AST Trading Inc</t>
        </is>
      </c>
      <c r="D235" s="5" t="inlineStr">
        <is>
          <t>Trader/Distributor</t>
        </is>
      </c>
      <c r="E235" s="5" t="inlineStr">
        <is>
          <t>United States</t>
        </is>
      </c>
      <c r="F235" s="5" t="n">
        <v>2024</v>
      </c>
      <c r="G235" s="5" t="n">
        <v>8</v>
      </c>
      <c r="H235" s="7" t="n">
        <v>811.12</v>
      </c>
      <c r="I235" s="5" t="inlineStr">
        <is>
          <t>USD</t>
        </is>
      </c>
      <c r="J235" s="8">
        <f>IF($I235="AUD",Assumptions!$B$2,Assumptions!$B$3)</f>
        <v/>
      </c>
      <c r="K235" s="9">
        <f>$G235*$H235*$J235</f>
        <v/>
      </c>
      <c r="L235" s="9">
        <f>$K235*Assumptions!$B$4</f>
        <v/>
      </c>
      <c r="M235" s="9">
        <f>RawTx[[#This Row],[Value USD]]/RawTx[[#This Row],[Quantity]]</f>
        <v/>
      </c>
      <c r="N235" s="9">
        <f>RawTx[[#This Row],[Value IDR]]/RawTx[[#This Row],[Quantity]]</f>
        <v/>
      </c>
      <c r="O235" s="4" t="inlineStr">
        <is>
          <t>VESSEL FRONT HD605</t>
        </is>
      </c>
      <c r="P235" s="5" t="inlineStr">
        <is>
          <t>Komatsu</t>
        </is>
      </c>
      <c r="Q235" s="13" t="inlineStr">
        <is>
          <t>HD605</t>
        </is>
      </c>
      <c r="R235" s="7" t="n">
        <v>14294.6</v>
      </c>
      <c r="S235" s="7">
        <f>IFERROR($R235/$G235,"")</f>
        <v/>
      </c>
      <c r="T235" s="7" t="inlineStr">
        <is>
          <t>NA</t>
        </is>
      </c>
      <c r="U235" s="7" t="inlineStr">
        <is>
          <t>NA</t>
        </is>
      </c>
      <c r="V235" s="7" t="inlineStr">
        <is>
          <t>NA</t>
        </is>
      </c>
      <c r="W235" s="9">
        <f>IF(ISNUMBER($T235),$T235*$J235*Assumptions!$B$4,"NA")</f>
        <v/>
      </c>
      <c r="X235" s="9">
        <f>IF(ISNUMBER($U235),$U235*$J235*Assumptions!$B$4,"NA")</f>
        <v/>
      </c>
      <c r="Y235" s="9">
        <f>IF(ISNUMBER($V235),$V235*$J235*Assumptions!$B$4,"NA")</f>
        <v/>
      </c>
    </row>
    <row r="236">
      <c r="A236" s="5" t="inlineStr">
        <is>
          <t>Katsushiro</t>
        </is>
      </c>
      <c r="B236" s="5" t="inlineStr">
        <is>
          <t>Body panels</t>
        </is>
      </c>
      <c r="C236" s="5" t="inlineStr">
        <is>
          <t>AST Trading Inc</t>
        </is>
      </c>
      <c r="D236" s="5" t="inlineStr">
        <is>
          <t>Trader/Distributor</t>
        </is>
      </c>
      <c r="E236" s="5" t="inlineStr">
        <is>
          <t>United States</t>
        </is>
      </c>
      <c r="F236" s="5" t="n">
        <v>2024</v>
      </c>
      <c r="G236" s="5" t="n">
        <v>8</v>
      </c>
      <c r="H236" s="7" t="n">
        <v>811.12</v>
      </c>
      <c r="I236" s="5" t="inlineStr">
        <is>
          <t>USD</t>
        </is>
      </c>
      <c r="J236" s="8">
        <f>IF($I236="AUD",Assumptions!$B$2,Assumptions!$B$3)</f>
        <v/>
      </c>
      <c r="K236" s="9">
        <f>$G236*$H236*$J236</f>
        <v/>
      </c>
      <c r="L236" s="9">
        <f>$K236*Assumptions!$B$4</f>
        <v/>
      </c>
      <c r="M236" s="9">
        <f>RawTx[[#This Row],[Value USD]]/RawTx[[#This Row],[Quantity]]</f>
        <v/>
      </c>
      <c r="N236" s="9">
        <f>RawTx[[#This Row],[Value IDR]]/RawTx[[#This Row],[Quantity]]</f>
        <v/>
      </c>
      <c r="O236" s="4" t="inlineStr">
        <is>
          <t>VESSEL FRONT HD605</t>
        </is>
      </c>
      <c r="P236" s="5" t="inlineStr">
        <is>
          <t>Komatsu</t>
        </is>
      </c>
      <c r="Q236" s="13" t="inlineStr">
        <is>
          <t>HD605</t>
        </is>
      </c>
      <c r="R236" s="7" t="n">
        <v>14294.6</v>
      </c>
      <c r="S236" s="7">
        <f>IFERROR($R236/$G236,"")</f>
        <v/>
      </c>
      <c r="T236" s="7" t="inlineStr">
        <is>
          <t>NA</t>
        </is>
      </c>
      <c r="U236" s="7" t="inlineStr">
        <is>
          <t>NA</t>
        </is>
      </c>
      <c r="V236" s="7" t="inlineStr">
        <is>
          <t>NA</t>
        </is>
      </c>
      <c r="W236" s="9">
        <f>IF(ISNUMBER($T236),$T236*$J236*Assumptions!$B$4,"NA")</f>
        <v/>
      </c>
      <c r="X236" s="9">
        <f>IF(ISNUMBER($U236),$U236*$J236*Assumptions!$B$4,"NA")</f>
        <v/>
      </c>
      <c r="Y236" s="9">
        <f>IF(ISNUMBER($V236),$V236*$J236*Assumptions!$B$4,"NA")</f>
        <v/>
      </c>
    </row>
    <row r="237">
      <c r="A237" s="5" t="inlineStr">
        <is>
          <t>Katsushiro</t>
        </is>
      </c>
      <c r="B237" s="5" t="inlineStr">
        <is>
          <t>Body panels</t>
        </is>
      </c>
      <c r="C237" s="5" t="inlineStr">
        <is>
          <t>AST Trading Inc</t>
        </is>
      </c>
      <c r="D237" s="5" t="inlineStr">
        <is>
          <t>Trader/Distributor</t>
        </is>
      </c>
      <c r="E237" s="5" t="inlineStr">
        <is>
          <t>United States</t>
        </is>
      </c>
      <c r="F237" s="5" t="n">
        <v>2024</v>
      </c>
      <c r="G237" s="5" t="n">
        <v>8</v>
      </c>
      <c r="H237" s="7" t="n">
        <v>6488.94</v>
      </c>
      <c r="I237" s="5" t="inlineStr">
        <is>
          <t>USD</t>
        </is>
      </c>
      <c r="J237" s="8">
        <f>IF($I237="AUD",Assumptions!$B$2,Assumptions!$B$3)</f>
        <v/>
      </c>
      <c r="K237" s="9">
        <f>$G237*$H237*$J237</f>
        <v/>
      </c>
      <c r="L237" s="9">
        <f>$K237*Assumptions!$B$4</f>
        <v/>
      </c>
      <c r="M237" s="9">
        <f>RawTx[[#This Row],[Value USD]]/RawTx[[#This Row],[Quantity]]</f>
        <v/>
      </c>
      <c r="N237" s="9">
        <f>RawTx[[#This Row],[Value IDR]]/RawTx[[#This Row],[Quantity]]</f>
        <v/>
      </c>
      <c r="O237" s="4" t="inlineStr">
        <is>
          <t>VESSEL FRONT HD605</t>
        </is>
      </c>
      <c r="P237" s="5" t="inlineStr">
        <is>
          <t>Komatsu</t>
        </is>
      </c>
      <c r="Q237" s="13" t="inlineStr">
        <is>
          <t>HD605</t>
        </is>
      </c>
      <c r="R237" s="7" t="n">
        <v>14294.6</v>
      </c>
      <c r="S237" s="7">
        <f>IFERROR($R237/$G237,"")</f>
        <v/>
      </c>
      <c r="T237" s="7" t="inlineStr">
        <is>
          <t>NA</t>
        </is>
      </c>
      <c r="U237" s="7" t="inlineStr">
        <is>
          <t>NA</t>
        </is>
      </c>
      <c r="V237" s="7" t="inlineStr">
        <is>
          <t>NA</t>
        </is>
      </c>
      <c r="W237" s="9">
        <f>IF(ISNUMBER($T237),$T237*$J237*Assumptions!$B$4,"NA")</f>
        <v/>
      </c>
      <c r="X237" s="9">
        <f>IF(ISNUMBER($U237),$U237*$J237*Assumptions!$B$4,"NA")</f>
        <v/>
      </c>
      <c r="Y237" s="9">
        <f>IF(ISNUMBER($V237),$V237*$J237*Assumptions!$B$4,"NA")</f>
        <v/>
      </c>
    </row>
    <row r="238">
      <c r="A238" s="5" t="inlineStr">
        <is>
          <t>Katsushiro</t>
        </is>
      </c>
      <c r="B238" s="5" t="inlineStr">
        <is>
          <t>Body panels</t>
        </is>
      </c>
      <c r="C238" s="5" t="inlineStr">
        <is>
          <t>AST Trading Inc</t>
        </is>
      </c>
      <c r="D238" s="5" t="inlineStr">
        <is>
          <t>Trader/Distributor</t>
        </is>
      </c>
      <c r="E238" s="5" t="inlineStr">
        <is>
          <t>United States</t>
        </is>
      </c>
      <c r="F238" s="5" t="n">
        <v>2024</v>
      </c>
      <c r="G238" s="5" t="n">
        <v>12</v>
      </c>
      <c r="H238" s="7" t="n">
        <v>410.64</v>
      </c>
      <c r="I238" s="5" t="inlineStr">
        <is>
          <t>USD</t>
        </is>
      </c>
      <c r="J238" s="8">
        <f>IF($I238="AUD",Assumptions!$B$2,Assumptions!$B$3)</f>
        <v/>
      </c>
      <c r="K238" s="9">
        <f>$G238*$H238*$J238</f>
        <v/>
      </c>
      <c r="L238" s="9">
        <f>$K238*Assumptions!$B$4</f>
        <v/>
      </c>
      <c r="M238" s="9">
        <f>RawTx[[#This Row],[Value USD]]/RawTx[[#This Row],[Quantity]]</f>
        <v/>
      </c>
      <c r="N238" s="9">
        <f>RawTx[[#This Row],[Value IDR]]/RawTx[[#This Row],[Quantity]]</f>
        <v/>
      </c>
      <c r="O238" s="4" t="inlineStr">
        <is>
          <t>SIDE BODY HD605</t>
        </is>
      </c>
      <c r="P238" s="5" t="inlineStr">
        <is>
          <t>Komatsu</t>
        </is>
      </c>
      <c r="Q238" s="13" t="inlineStr">
        <is>
          <t>HD605</t>
        </is>
      </c>
      <c r="R238" s="7" t="n">
        <v>16347.2</v>
      </c>
      <c r="S238" s="7">
        <f>IFERROR($R238/$G238,"")</f>
        <v/>
      </c>
      <c r="T238" s="7" t="inlineStr">
        <is>
          <t>NA</t>
        </is>
      </c>
      <c r="U238" s="7" t="inlineStr">
        <is>
          <t>NA</t>
        </is>
      </c>
      <c r="V238" s="7" t="inlineStr">
        <is>
          <t>NA</t>
        </is>
      </c>
      <c r="W238" s="9">
        <f>IF(ISNUMBER($T238),$T238*$J238*Assumptions!$B$4,"NA")</f>
        <v/>
      </c>
      <c r="X238" s="9">
        <f>IF(ISNUMBER($U238),$U238*$J238*Assumptions!$B$4,"NA")</f>
        <v/>
      </c>
      <c r="Y238" s="9">
        <f>IF(ISNUMBER($V238),$V238*$J238*Assumptions!$B$4,"NA")</f>
        <v/>
      </c>
    </row>
    <row r="239">
      <c r="A239" s="5" t="inlineStr">
        <is>
          <t>Katsushiro</t>
        </is>
      </c>
      <c r="B239" s="5" t="inlineStr">
        <is>
          <t>Body panels</t>
        </is>
      </c>
      <c r="C239" s="5" t="inlineStr">
        <is>
          <t>AST Trading Inc</t>
        </is>
      </c>
      <c r="D239" s="5" t="inlineStr">
        <is>
          <t>Trader/Distributor</t>
        </is>
      </c>
      <c r="E239" s="5" t="inlineStr">
        <is>
          <t>United States</t>
        </is>
      </c>
      <c r="F239" s="5" t="n">
        <v>2024</v>
      </c>
      <c r="G239" s="5" t="n">
        <v>12</v>
      </c>
      <c r="H239" s="7" t="n">
        <v>4927.66</v>
      </c>
      <c r="I239" s="5" t="inlineStr">
        <is>
          <t>USD</t>
        </is>
      </c>
      <c r="J239" s="8">
        <f>IF($I239="AUD",Assumptions!$B$2,Assumptions!$B$3)</f>
        <v/>
      </c>
      <c r="K239" s="9">
        <f>$G239*$H239*$J239</f>
        <v/>
      </c>
      <c r="L239" s="9">
        <f>$K239*Assumptions!$B$4</f>
        <v/>
      </c>
      <c r="M239" s="9">
        <f>RawTx[[#This Row],[Value USD]]/RawTx[[#This Row],[Quantity]]</f>
        <v/>
      </c>
      <c r="N239" s="9">
        <f>RawTx[[#This Row],[Value IDR]]/RawTx[[#This Row],[Quantity]]</f>
        <v/>
      </c>
      <c r="O239" s="4" t="inlineStr">
        <is>
          <t>SIDE BODY HD605</t>
        </is>
      </c>
      <c r="P239" s="5" t="inlineStr">
        <is>
          <t>Komatsu</t>
        </is>
      </c>
      <c r="Q239" s="13" t="inlineStr">
        <is>
          <t>HD605</t>
        </is>
      </c>
      <c r="R239" s="7" t="n">
        <v>16347.2</v>
      </c>
      <c r="S239" s="7">
        <f>IFERROR($R239/$G239,"")</f>
        <v/>
      </c>
      <c r="T239" s="7" t="inlineStr">
        <is>
          <t>NA</t>
        </is>
      </c>
      <c r="U239" s="7" t="inlineStr">
        <is>
          <t>NA</t>
        </is>
      </c>
      <c r="V239" s="7" t="inlineStr">
        <is>
          <t>NA</t>
        </is>
      </c>
      <c r="W239" s="9">
        <f>IF(ISNUMBER($T239),$T239*$J239*Assumptions!$B$4,"NA")</f>
        <v/>
      </c>
      <c r="X239" s="9">
        <f>IF(ISNUMBER($U239),$U239*$J239*Assumptions!$B$4,"NA")</f>
        <v/>
      </c>
      <c r="Y239" s="9">
        <f>IF(ISNUMBER($V239),$V239*$J239*Assumptions!$B$4,"NA")</f>
        <v/>
      </c>
    </row>
    <row r="240">
      <c r="A240" s="5" t="inlineStr">
        <is>
          <t>Katsushiro</t>
        </is>
      </c>
      <c r="B240" s="5" t="inlineStr">
        <is>
          <t>Body panels</t>
        </is>
      </c>
      <c r="C240" s="5" t="inlineStr">
        <is>
          <t>AST Trading Inc</t>
        </is>
      </c>
      <c r="D240" s="5" t="inlineStr">
        <is>
          <t>Trader/Distributor</t>
        </is>
      </c>
      <c r="E240" s="5" t="inlineStr">
        <is>
          <t>United States</t>
        </is>
      </c>
      <c r="F240" s="5" t="n">
        <v>2024</v>
      </c>
      <c r="G240" s="5" t="n">
        <v>8</v>
      </c>
      <c r="H240" s="7" t="n">
        <v>811.12</v>
      </c>
      <c r="I240" s="5" t="inlineStr">
        <is>
          <t>USD</t>
        </is>
      </c>
      <c r="J240" s="8">
        <f>IF($I240="AUD",Assumptions!$B$2,Assumptions!$B$3)</f>
        <v/>
      </c>
      <c r="K240" s="9">
        <f>$G240*$H240*$J240</f>
        <v/>
      </c>
      <c r="L240" s="9">
        <f>$K240*Assumptions!$B$4</f>
        <v/>
      </c>
      <c r="M240" s="9">
        <f>RawTx[[#This Row],[Value USD]]/RawTx[[#This Row],[Quantity]]</f>
        <v/>
      </c>
      <c r="N240" s="9">
        <f>RawTx[[#This Row],[Value IDR]]/RawTx[[#This Row],[Quantity]]</f>
        <v/>
      </c>
      <c r="O240" s="4" t="inlineStr">
        <is>
          <t>VESSEL FRONT HD605</t>
        </is>
      </c>
      <c r="P240" s="5" t="inlineStr">
        <is>
          <t>Komatsu</t>
        </is>
      </c>
      <c r="Q240" s="13" t="inlineStr">
        <is>
          <t>HD605</t>
        </is>
      </c>
      <c r="R240" s="7" t="n">
        <v>14294.6</v>
      </c>
      <c r="S240" s="7">
        <f>IFERROR($R240/$G240,"")</f>
        <v/>
      </c>
      <c r="T240" s="7" t="inlineStr">
        <is>
          <t>NA</t>
        </is>
      </c>
      <c r="U240" s="7" t="inlineStr">
        <is>
          <t>NA</t>
        </is>
      </c>
      <c r="V240" s="7" t="inlineStr">
        <is>
          <t>NA</t>
        </is>
      </c>
      <c r="W240" s="9">
        <f>IF(ISNUMBER($T240),$T240*$J240*Assumptions!$B$4,"NA")</f>
        <v/>
      </c>
      <c r="X240" s="9">
        <f>IF(ISNUMBER($U240),$U240*$J240*Assumptions!$B$4,"NA")</f>
        <v/>
      </c>
      <c r="Y240" s="9">
        <f>IF(ISNUMBER($V240),$V240*$J240*Assumptions!$B$4,"NA")</f>
        <v/>
      </c>
    </row>
    <row r="241">
      <c r="A241" s="5" t="inlineStr">
        <is>
          <t>Katsushiro</t>
        </is>
      </c>
      <c r="B241" s="5" t="inlineStr">
        <is>
          <t>Body panels</t>
        </is>
      </c>
      <c r="C241" s="5" t="inlineStr">
        <is>
          <t>AST Trading Inc</t>
        </is>
      </c>
      <c r="D241" s="5" t="inlineStr">
        <is>
          <t>Trader/Distributor</t>
        </is>
      </c>
      <c r="E241" s="5" t="inlineStr">
        <is>
          <t>United States</t>
        </is>
      </c>
      <c r="F241" s="5" t="n">
        <v>2024</v>
      </c>
      <c r="G241" s="5" t="n">
        <v>8</v>
      </c>
      <c r="H241" s="7" t="n">
        <v>6488.94</v>
      </c>
      <c r="I241" s="5" t="inlineStr">
        <is>
          <t>USD</t>
        </is>
      </c>
      <c r="J241" s="8">
        <f>IF($I241="AUD",Assumptions!$B$2,Assumptions!$B$3)</f>
        <v/>
      </c>
      <c r="K241" s="9">
        <f>$G241*$H241*$J241</f>
        <v/>
      </c>
      <c r="L241" s="9">
        <f>$K241*Assumptions!$B$4</f>
        <v/>
      </c>
      <c r="M241" s="9">
        <f>RawTx[[#This Row],[Value USD]]/RawTx[[#This Row],[Quantity]]</f>
        <v/>
      </c>
      <c r="N241" s="9">
        <f>RawTx[[#This Row],[Value IDR]]/RawTx[[#This Row],[Quantity]]</f>
        <v/>
      </c>
      <c r="O241" s="4" t="inlineStr">
        <is>
          <t>VESSEL FRONT HD605</t>
        </is>
      </c>
      <c r="P241" s="5" t="inlineStr">
        <is>
          <t>Komatsu</t>
        </is>
      </c>
      <c r="Q241" s="13" t="inlineStr">
        <is>
          <t>HD605</t>
        </is>
      </c>
      <c r="R241" s="7" t="n">
        <v>14294.6</v>
      </c>
      <c r="S241" s="7">
        <f>IFERROR($R241/$G241,"")</f>
        <v/>
      </c>
      <c r="T241" s="7" t="inlineStr">
        <is>
          <t>NA</t>
        </is>
      </c>
      <c r="U241" s="7" t="inlineStr">
        <is>
          <t>NA</t>
        </is>
      </c>
      <c r="V241" s="7" t="inlineStr">
        <is>
          <t>NA</t>
        </is>
      </c>
      <c r="W241" s="9">
        <f>IF(ISNUMBER($T241),$T241*$J241*Assumptions!$B$4,"NA")</f>
        <v/>
      </c>
      <c r="X241" s="9">
        <f>IF(ISNUMBER($U241),$U241*$J241*Assumptions!$B$4,"NA")</f>
        <v/>
      </c>
      <c r="Y241" s="9">
        <f>IF(ISNUMBER($V241),$V241*$J241*Assumptions!$B$4,"NA")</f>
        <v/>
      </c>
    </row>
    <row r="242">
      <c r="A242" s="5" t="inlineStr">
        <is>
          <t>Katsushiro</t>
        </is>
      </c>
      <c r="B242" s="5" t="inlineStr">
        <is>
          <t>Body panels</t>
        </is>
      </c>
      <c r="C242" s="5" t="inlineStr">
        <is>
          <t>AST Trading Inc</t>
        </is>
      </c>
      <c r="D242" s="5" t="inlineStr">
        <is>
          <t>Trader/Distributor</t>
        </is>
      </c>
      <c r="E242" s="5" t="inlineStr">
        <is>
          <t>United States</t>
        </is>
      </c>
      <c r="F242" s="5" t="n">
        <v>2024</v>
      </c>
      <c r="G242" s="5" t="n">
        <v>10</v>
      </c>
      <c r="H242" s="7" t="n">
        <v>514.13</v>
      </c>
      <c r="I242" s="5" t="inlineStr">
        <is>
          <t>USD</t>
        </is>
      </c>
      <c r="J242" s="8">
        <f>IF($I242="AUD",Assumptions!$B$2,Assumptions!$B$3)</f>
        <v/>
      </c>
      <c r="K242" s="9">
        <f>$G242*$H242*$J242</f>
        <v/>
      </c>
      <c r="L242" s="9">
        <f>$K242*Assumptions!$B$4</f>
        <v/>
      </c>
      <c r="M242" s="9">
        <f>RawTx[[#This Row],[Value USD]]/RawTx[[#This Row],[Quantity]]</f>
        <v/>
      </c>
      <c r="N242" s="9">
        <f>RawTx[[#This Row],[Value IDR]]/RawTx[[#This Row],[Quantity]]</f>
        <v/>
      </c>
      <c r="O242" s="4" t="inlineStr">
        <is>
          <t>VESSEL SIDE HD785</t>
        </is>
      </c>
      <c r="P242" s="5" t="inlineStr">
        <is>
          <t>Komatsu</t>
        </is>
      </c>
      <c r="Q242" s="14" t="inlineStr">
        <is>
          <t>HD785</t>
        </is>
      </c>
      <c r="R242" s="7" t="n">
        <v>16695.3</v>
      </c>
      <c r="S242" s="7">
        <f>IFERROR($R242/$G242,"")</f>
        <v/>
      </c>
      <c r="T242" s="7" t="inlineStr">
        <is>
          <t>NA</t>
        </is>
      </c>
      <c r="U242" s="7" t="inlineStr">
        <is>
          <t>NA</t>
        </is>
      </c>
      <c r="V242" s="7" t="inlineStr">
        <is>
          <t>NA</t>
        </is>
      </c>
      <c r="W242" s="9">
        <f>IF(ISNUMBER($T242),$T242*$J242*Assumptions!$B$4,"NA")</f>
        <v/>
      </c>
      <c r="X242" s="9">
        <f>IF(ISNUMBER($U242),$U242*$J242*Assumptions!$B$4,"NA")</f>
        <v/>
      </c>
      <c r="Y242" s="9">
        <f>IF(ISNUMBER($V242),$V242*$J242*Assumptions!$B$4,"NA")</f>
        <v/>
      </c>
    </row>
    <row r="243">
      <c r="A243" s="5" t="inlineStr">
        <is>
          <t>Katsushiro</t>
        </is>
      </c>
      <c r="B243" s="5" t="inlineStr">
        <is>
          <t>Body panels</t>
        </is>
      </c>
      <c r="C243" s="5" t="inlineStr">
        <is>
          <t>AST Trading Inc</t>
        </is>
      </c>
      <c r="D243" s="5" t="inlineStr">
        <is>
          <t>Trader/Distributor</t>
        </is>
      </c>
      <c r="E243" s="5" t="inlineStr">
        <is>
          <t>United States</t>
        </is>
      </c>
      <c r="F243" s="5" t="n">
        <v>2024</v>
      </c>
      <c r="G243" s="5" t="n">
        <v>10</v>
      </c>
      <c r="H243" s="7" t="n">
        <v>5141.25</v>
      </c>
      <c r="I243" s="5" t="inlineStr">
        <is>
          <t>USD</t>
        </is>
      </c>
      <c r="J243" s="8">
        <f>IF($I243="AUD",Assumptions!$B$2,Assumptions!$B$3)</f>
        <v/>
      </c>
      <c r="K243" s="9">
        <f>$G243*$H243*$J243</f>
        <v/>
      </c>
      <c r="L243" s="9">
        <f>$K243*Assumptions!$B$4</f>
        <v/>
      </c>
      <c r="M243" s="9">
        <f>RawTx[[#This Row],[Value USD]]/RawTx[[#This Row],[Quantity]]</f>
        <v/>
      </c>
      <c r="N243" s="9">
        <f>RawTx[[#This Row],[Value IDR]]/RawTx[[#This Row],[Quantity]]</f>
        <v/>
      </c>
      <c r="O243" s="4" t="inlineStr">
        <is>
          <t>VESSEL SIDE HD785</t>
        </is>
      </c>
      <c r="P243" s="5" t="inlineStr">
        <is>
          <t>Komatsu</t>
        </is>
      </c>
      <c r="Q243" s="14" t="inlineStr">
        <is>
          <t>HD785</t>
        </is>
      </c>
      <c r="R243" s="7" t="n">
        <v>16695.3</v>
      </c>
      <c r="S243" s="7">
        <f>IFERROR($R243/$G243,"")</f>
        <v/>
      </c>
      <c r="T243" s="7" t="inlineStr">
        <is>
          <t>NA</t>
        </is>
      </c>
      <c r="U243" s="7" t="inlineStr">
        <is>
          <t>NA</t>
        </is>
      </c>
      <c r="V243" s="7" t="inlineStr">
        <is>
          <t>NA</t>
        </is>
      </c>
      <c r="W243" s="9">
        <f>IF(ISNUMBER($T243),$T243*$J243*Assumptions!$B$4,"NA")</f>
        <v/>
      </c>
      <c r="X243" s="9">
        <f>IF(ISNUMBER($U243),$U243*$J243*Assumptions!$B$4,"NA")</f>
        <v/>
      </c>
      <c r="Y243" s="9">
        <f>IF(ISNUMBER($V243),$V243*$J243*Assumptions!$B$4,"NA")</f>
        <v/>
      </c>
    </row>
    <row r="244">
      <c r="A244" s="5" t="inlineStr">
        <is>
          <t>Katsushiro</t>
        </is>
      </c>
      <c r="B244" s="5" t="inlineStr">
        <is>
          <t>Body panels</t>
        </is>
      </c>
      <c r="C244" s="5" t="inlineStr">
        <is>
          <t>AST Trading Inc</t>
        </is>
      </c>
      <c r="D244" s="5" t="inlineStr">
        <is>
          <t>Trader/Distributor</t>
        </is>
      </c>
      <c r="E244" s="5" t="inlineStr">
        <is>
          <t>United States</t>
        </is>
      </c>
      <c r="F244" s="5" t="n">
        <v>2024</v>
      </c>
      <c r="G244" s="5" t="n">
        <v>6</v>
      </c>
      <c r="H244" s="7" t="n">
        <v>1426.05</v>
      </c>
      <c r="I244" s="5" t="inlineStr">
        <is>
          <t>USD</t>
        </is>
      </c>
      <c r="J244" s="8">
        <f>IF($I244="AUD",Assumptions!$B$2,Assumptions!$B$3)</f>
        <v/>
      </c>
      <c r="K244" s="9">
        <f>$G244*$H244*$J244</f>
        <v/>
      </c>
      <c r="L244" s="9">
        <f>$K244*Assumptions!$B$4</f>
        <v/>
      </c>
      <c r="M244" s="9">
        <f>RawTx[[#This Row],[Value USD]]/RawTx[[#This Row],[Quantity]]</f>
        <v/>
      </c>
      <c r="N244" s="9">
        <f>RawTx[[#This Row],[Value IDR]]/RawTx[[#This Row],[Quantity]]</f>
        <v/>
      </c>
      <c r="O244" s="4" t="inlineStr">
        <is>
          <t>VESSEL FRONT HD785</t>
        </is>
      </c>
      <c r="P244" s="5" t="inlineStr">
        <is>
          <t>Komatsu</t>
        </is>
      </c>
      <c r="Q244" s="14" t="inlineStr">
        <is>
          <t>HD785</t>
        </is>
      </c>
      <c r="R244" s="7" t="n">
        <v>15037.8</v>
      </c>
      <c r="S244" s="7">
        <f>IFERROR($R244/$G244,"")</f>
        <v/>
      </c>
      <c r="T244" s="7" t="inlineStr">
        <is>
          <t>NA</t>
        </is>
      </c>
      <c r="U244" s="7" t="inlineStr">
        <is>
          <t>NA</t>
        </is>
      </c>
      <c r="V244" s="7" t="inlineStr">
        <is>
          <t>NA</t>
        </is>
      </c>
      <c r="W244" s="9">
        <f>IF(ISNUMBER($T244),$T244*$J244*Assumptions!$B$4,"NA")</f>
        <v/>
      </c>
      <c r="X244" s="9">
        <f>IF(ISNUMBER($U244),$U244*$J244*Assumptions!$B$4,"NA")</f>
        <v/>
      </c>
      <c r="Y244" s="9">
        <f>IF(ISNUMBER($V244),$V244*$J244*Assumptions!$B$4,"NA")</f>
        <v/>
      </c>
    </row>
    <row r="245">
      <c r="A245" s="5" t="inlineStr">
        <is>
          <t>Katsushiro</t>
        </is>
      </c>
      <c r="B245" s="5" t="inlineStr">
        <is>
          <t>Body panels</t>
        </is>
      </c>
      <c r="C245" s="5" t="inlineStr">
        <is>
          <t>AST Trading Inc</t>
        </is>
      </c>
      <c r="D245" s="5" t="inlineStr">
        <is>
          <t>Trader/Distributor</t>
        </is>
      </c>
      <c r="E245" s="5" t="inlineStr">
        <is>
          <t>United States</t>
        </is>
      </c>
      <c r="F245" s="5" t="n">
        <v>2024</v>
      </c>
      <c r="G245" s="5" t="n">
        <v>12</v>
      </c>
      <c r="H245" s="7" t="n">
        <v>4833.55</v>
      </c>
      <c r="I245" s="5" t="inlineStr">
        <is>
          <t>USD</t>
        </is>
      </c>
      <c r="J245" s="8">
        <f>IF($I245="AUD",Assumptions!$B$2,Assumptions!$B$3)</f>
        <v/>
      </c>
      <c r="K245" s="9">
        <f>$G245*$H245*$J245</f>
        <v/>
      </c>
      <c r="L245" s="9">
        <f>$K245*Assumptions!$B$4</f>
        <v/>
      </c>
      <c r="M245" s="9">
        <f>RawTx[[#This Row],[Value USD]]/RawTx[[#This Row],[Quantity]]</f>
        <v/>
      </c>
      <c r="N245" s="9">
        <f>RawTx[[#This Row],[Value IDR]]/RawTx[[#This Row],[Quantity]]</f>
        <v/>
      </c>
      <c r="O245" s="4" t="inlineStr">
        <is>
          <t>SIDE BODY HD605</t>
        </is>
      </c>
      <c r="P245" s="5" t="inlineStr">
        <is>
          <t>Komatsu</t>
        </is>
      </c>
      <c r="Q245" s="13" t="inlineStr">
        <is>
          <t>HD605</t>
        </is>
      </c>
      <c r="R245" s="7" t="n">
        <v>16347.2</v>
      </c>
      <c r="S245" s="7">
        <f>IFERROR($R245/$G245,"")</f>
        <v/>
      </c>
      <c r="T245" s="7" t="inlineStr">
        <is>
          <t>NA</t>
        </is>
      </c>
      <c r="U245" s="7" t="inlineStr">
        <is>
          <t>NA</t>
        </is>
      </c>
      <c r="V245" s="7" t="inlineStr">
        <is>
          <t>NA</t>
        </is>
      </c>
      <c r="W245" s="9">
        <f>IF(ISNUMBER($T245),$T245*$J245*Assumptions!$B$4,"NA")</f>
        <v/>
      </c>
      <c r="X245" s="9">
        <f>IF(ISNUMBER($U245),$U245*$J245*Assumptions!$B$4,"NA")</f>
        <v/>
      </c>
      <c r="Y245" s="9">
        <f>IF(ISNUMBER($V245),$V245*$J245*Assumptions!$B$4,"NA")</f>
        <v/>
      </c>
    </row>
    <row r="246">
      <c r="A246" s="5" t="inlineStr">
        <is>
          <t>Katsushiro</t>
        </is>
      </c>
      <c r="B246" s="5" t="inlineStr">
        <is>
          <t>Body panels</t>
        </is>
      </c>
      <c r="C246" s="5" t="inlineStr">
        <is>
          <t>AST Trading Inc</t>
        </is>
      </c>
      <c r="D246" s="5" t="inlineStr">
        <is>
          <t>Trader/Distributor</t>
        </is>
      </c>
      <c r="E246" s="5" t="inlineStr">
        <is>
          <t>United States</t>
        </is>
      </c>
      <c r="F246" s="5" t="n">
        <v>2024</v>
      </c>
      <c r="G246" s="5" t="n">
        <v>8</v>
      </c>
      <c r="H246" s="7" t="n">
        <v>6347.77</v>
      </c>
      <c r="I246" s="5" t="inlineStr">
        <is>
          <t>USD</t>
        </is>
      </c>
      <c r="J246" s="8">
        <f>IF($I246="AUD",Assumptions!$B$2,Assumptions!$B$3)</f>
        <v/>
      </c>
      <c r="K246" s="9">
        <f>$G246*$H246*$J246</f>
        <v/>
      </c>
      <c r="L246" s="9">
        <f>$K246*Assumptions!$B$4</f>
        <v/>
      </c>
      <c r="M246" s="9">
        <f>RawTx[[#This Row],[Value USD]]/RawTx[[#This Row],[Quantity]]</f>
        <v/>
      </c>
      <c r="N246" s="9">
        <f>RawTx[[#This Row],[Value IDR]]/RawTx[[#This Row],[Quantity]]</f>
        <v/>
      </c>
      <c r="O246" s="4" t="inlineStr">
        <is>
          <t>VESSEL FRONT HD605</t>
        </is>
      </c>
      <c r="P246" s="5" t="inlineStr">
        <is>
          <t>Komatsu</t>
        </is>
      </c>
      <c r="Q246" s="13" t="inlineStr">
        <is>
          <t>HD605</t>
        </is>
      </c>
      <c r="R246" s="7" t="n">
        <v>14294.6</v>
      </c>
      <c r="S246" s="7">
        <f>IFERROR($R246/$G246,"")</f>
        <v/>
      </c>
      <c r="T246" s="7" t="inlineStr">
        <is>
          <t>NA</t>
        </is>
      </c>
      <c r="U246" s="7" t="inlineStr">
        <is>
          <t>NA</t>
        </is>
      </c>
      <c r="V246" s="7" t="inlineStr">
        <is>
          <t>NA</t>
        </is>
      </c>
      <c r="W246" s="9">
        <f>IF(ISNUMBER($T246),$T246*$J246*Assumptions!$B$4,"NA")</f>
        <v/>
      </c>
      <c r="X246" s="9">
        <f>IF(ISNUMBER($U246),$U246*$J246*Assumptions!$B$4,"NA")</f>
        <v/>
      </c>
      <c r="Y246" s="9">
        <f>IF(ISNUMBER($V246),$V246*$J246*Assumptions!$B$4,"NA")</f>
        <v/>
      </c>
    </row>
    <row r="247">
      <c r="A247" s="5" t="inlineStr">
        <is>
          <t>Katsushiro</t>
        </is>
      </c>
      <c r="B247" s="5" t="inlineStr">
        <is>
          <t>Body panels</t>
        </is>
      </c>
      <c r="C247" s="5" t="inlineStr">
        <is>
          <t>AST Trading Inc</t>
        </is>
      </c>
      <c r="D247" s="5" t="inlineStr">
        <is>
          <t>Trader/Distributor</t>
        </is>
      </c>
      <c r="E247" s="5" t="inlineStr">
        <is>
          <t>United States</t>
        </is>
      </c>
      <c r="F247" s="5" t="n">
        <v>2024</v>
      </c>
      <c r="G247" s="5" t="n">
        <v>12</v>
      </c>
      <c r="H247" s="7" t="n">
        <v>3970.75</v>
      </c>
      <c r="I247" s="5" t="inlineStr">
        <is>
          <t>USD</t>
        </is>
      </c>
      <c r="J247" s="8">
        <f>IF($I247="AUD",Assumptions!$B$2,Assumptions!$B$3)</f>
        <v/>
      </c>
      <c r="K247" s="9">
        <f>$G247*$H247*$J247</f>
        <v/>
      </c>
      <c r="L247" s="9">
        <f>$K247*Assumptions!$B$4</f>
        <v/>
      </c>
      <c r="M247" s="9">
        <f>RawTx[[#This Row],[Value USD]]/RawTx[[#This Row],[Quantity]]</f>
        <v/>
      </c>
      <c r="N247" s="9">
        <f>RawTx[[#This Row],[Value IDR]]/RawTx[[#This Row],[Quantity]]</f>
        <v/>
      </c>
      <c r="O247" s="4" t="inlineStr">
        <is>
          <t>VESSEL SIDE HD465</t>
        </is>
      </c>
      <c r="P247" s="5" t="inlineStr">
        <is>
          <t>Komatsu</t>
        </is>
      </c>
      <c r="Q247" s="13" t="inlineStr">
        <is>
          <t>HD465</t>
        </is>
      </c>
      <c r="R247" s="7" t="n">
        <v>13755</v>
      </c>
      <c r="S247" s="7">
        <f>IFERROR($R247/$G247,"")</f>
        <v/>
      </c>
      <c r="T247" s="7" t="inlineStr">
        <is>
          <t>NA</t>
        </is>
      </c>
      <c r="U247" s="7" t="inlineStr">
        <is>
          <t>NA</t>
        </is>
      </c>
      <c r="V247" s="7" t="inlineStr">
        <is>
          <t>NA</t>
        </is>
      </c>
      <c r="W247" s="9">
        <f>IF(ISNUMBER($T247),$T247*$J247*Assumptions!$B$4,"NA")</f>
        <v/>
      </c>
      <c r="X247" s="9">
        <f>IF(ISNUMBER($U247),$U247*$J247*Assumptions!$B$4,"NA")</f>
        <v/>
      </c>
      <c r="Y247" s="9">
        <f>IF(ISNUMBER($V247),$V247*$J247*Assumptions!$B$4,"NA")</f>
        <v/>
      </c>
    </row>
    <row r="248">
      <c r="A248" s="5" t="inlineStr">
        <is>
          <t>Katsushiro</t>
        </is>
      </c>
      <c r="B248" s="5" t="inlineStr">
        <is>
          <t>Body panels</t>
        </is>
      </c>
      <c r="C248" s="5" t="inlineStr">
        <is>
          <t>AST Trading Inc</t>
        </is>
      </c>
      <c r="D248" s="5" t="inlineStr">
        <is>
          <t>Trader/Distributor</t>
        </is>
      </c>
      <c r="E248" s="5" t="inlineStr">
        <is>
          <t>United States</t>
        </is>
      </c>
      <c r="F248" s="5" t="n">
        <v>2024</v>
      </c>
      <c r="G248" s="5" t="n">
        <v>6</v>
      </c>
      <c r="H248" s="7" t="n">
        <v>8368.1</v>
      </c>
      <c r="I248" s="5" t="inlineStr">
        <is>
          <t>USD</t>
        </is>
      </c>
      <c r="J248" s="8">
        <f>IF($I248="AUD",Assumptions!$B$2,Assumptions!$B$3)</f>
        <v/>
      </c>
      <c r="K248" s="9">
        <f>$G248*$H248*$J248</f>
        <v/>
      </c>
      <c r="L248" s="9">
        <f>$K248*Assumptions!$B$4</f>
        <v/>
      </c>
      <c r="M248" s="9">
        <f>RawTx[[#This Row],[Value USD]]/RawTx[[#This Row],[Quantity]]</f>
        <v/>
      </c>
      <c r="N248" s="9">
        <f>RawTx[[#This Row],[Value IDR]]/RawTx[[#This Row],[Quantity]]</f>
        <v/>
      </c>
      <c r="O248" s="4" t="inlineStr">
        <is>
          <t>VESSEL FRONT HD785</t>
        </is>
      </c>
      <c r="P248" s="5" t="inlineStr">
        <is>
          <t>Komatsu</t>
        </is>
      </c>
      <c r="Q248" s="14" t="inlineStr">
        <is>
          <t>HD785</t>
        </is>
      </c>
      <c r="R248" s="7" t="n">
        <v>15037.8</v>
      </c>
      <c r="S248" s="7">
        <f>IFERROR($R248/$G248,"")</f>
        <v/>
      </c>
      <c r="T248" s="7" t="inlineStr">
        <is>
          <t>NA</t>
        </is>
      </c>
      <c r="U248" s="7" t="inlineStr">
        <is>
          <t>NA</t>
        </is>
      </c>
      <c r="V248" s="7" t="inlineStr">
        <is>
          <t>NA</t>
        </is>
      </c>
      <c r="W248" s="9">
        <f>IF(ISNUMBER($T248),$T248*$J248*Assumptions!$B$4,"NA")</f>
        <v/>
      </c>
      <c r="X248" s="9">
        <f>IF(ISNUMBER($U248),$U248*$J248*Assumptions!$B$4,"NA")</f>
        <v/>
      </c>
      <c r="Y248" s="9">
        <f>IF(ISNUMBER($V248),$V248*$J248*Assumptions!$B$4,"NA")</f>
        <v/>
      </c>
    </row>
    <row r="249">
      <c r="A249" s="5" t="inlineStr">
        <is>
          <t>Katsushiro</t>
        </is>
      </c>
      <c r="B249" s="5" t="inlineStr">
        <is>
          <t>Body panels</t>
        </is>
      </c>
      <c r="C249" s="5" t="inlineStr">
        <is>
          <t>AST Trading Inc</t>
        </is>
      </c>
      <c r="D249" s="5" t="inlineStr">
        <is>
          <t>Trader/Distributor</t>
        </is>
      </c>
      <c r="E249" s="5" t="inlineStr">
        <is>
          <t>United States</t>
        </is>
      </c>
      <c r="F249" s="5" t="n">
        <v>2024</v>
      </c>
      <c r="G249" s="5" t="n">
        <v>8</v>
      </c>
      <c r="H249" s="7" t="n">
        <v>5783.59</v>
      </c>
      <c r="I249" s="5" t="inlineStr">
        <is>
          <t>USD</t>
        </is>
      </c>
      <c r="J249" s="8">
        <f>IF($I249="AUD",Assumptions!$B$2,Assumptions!$B$3)</f>
        <v/>
      </c>
      <c r="K249" s="9">
        <f>$G249*$H249*$J249</f>
        <v/>
      </c>
      <c r="L249" s="9">
        <f>$K249*Assumptions!$B$4</f>
        <v/>
      </c>
      <c r="M249" s="9">
        <f>RawTx[[#This Row],[Value USD]]/RawTx[[#This Row],[Quantity]]</f>
        <v/>
      </c>
      <c r="N249" s="9">
        <f>RawTx[[#This Row],[Value IDR]]/RawTx[[#This Row],[Quantity]]</f>
        <v/>
      </c>
      <c r="O249" s="4" t="inlineStr">
        <is>
          <t>VESSEL HD465 FRONT</t>
        </is>
      </c>
      <c r="P249" s="5" t="inlineStr">
        <is>
          <t>Komatsu</t>
        </is>
      </c>
      <c r="Q249" s="13" t="inlineStr">
        <is>
          <t>HD465</t>
        </is>
      </c>
      <c r="R249" s="7" t="n">
        <v>13470.6</v>
      </c>
      <c r="S249" s="7">
        <f>IFERROR($R249/$G249,"")</f>
        <v/>
      </c>
      <c r="T249" s="7" t="inlineStr">
        <is>
          <t>NA</t>
        </is>
      </c>
      <c r="U249" s="7" t="inlineStr">
        <is>
          <t>NA</t>
        </is>
      </c>
      <c r="V249" s="7" t="inlineStr">
        <is>
          <t>NA</t>
        </is>
      </c>
      <c r="W249" s="9">
        <f>IF(ISNUMBER($T249),$T249*$J249*Assumptions!$B$4,"NA")</f>
        <v/>
      </c>
      <c r="X249" s="9">
        <f>IF(ISNUMBER($U249),$U249*$J249*Assumptions!$B$4,"NA")</f>
        <v/>
      </c>
      <c r="Y249" s="9">
        <f>IF(ISNUMBER($V249),$V249*$J249*Assumptions!$B$4,"NA")</f>
        <v/>
      </c>
    </row>
    <row r="250">
      <c r="A250" s="5" t="inlineStr">
        <is>
          <t>Katsushiro</t>
        </is>
      </c>
      <c r="B250" s="5" t="inlineStr">
        <is>
          <t>Wear parts</t>
        </is>
      </c>
      <c r="C250" s="5" t="inlineStr">
        <is>
          <t>AST Trading Inc</t>
        </is>
      </c>
      <c r="D250" s="5" t="inlineStr">
        <is>
          <t>Trader/Distributor</t>
        </is>
      </c>
      <c r="E250" s="5" t="inlineStr">
        <is>
          <t>United States</t>
        </is>
      </c>
      <c r="F250" s="5" t="n">
        <v>2024</v>
      </c>
      <c r="G250" s="5" t="n">
        <v>144</v>
      </c>
      <c r="H250" s="7" t="n">
        <v>277.25</v>
      </c>
      <c r="I250" s="5" t="inlineStr">
        <is>
          <t>USD</t>
        </is>
      </c>
      <c r="J250" s="8">
        <f>IF($I250="AUD",Assumptions!$B$2,Assumptions!$B$3)</f>
        <v/>
      </c>
      <c r="K250" s="9">
        <f>$G250*$H250*$J250</f>
        <v/>
      </c>
      <c r="L250" s="9">
        <f>$K250*Assumptions!$B$4</f>
        <v/>
      </c>
      <c r="M250" s="9">
        <f>RawTx[[#This Row],[Value USD]]/RawTx[[#This Row],[Quantity]]</f>
        <v/>
      </c>
      <c r="N250" s="9">
        <f>RawTx[[#This Row],[Value IDR]]/RawTx[[#This Row],[Quantity]]</f>
        <v/>
      </c>
      <c r="O250" s="4" t="inlineStr">
        <is>
          <t>LINER KIT FRONT AND SIDE</t>
        </is>
      </c>
      <c r="P250" s="5" t="inlineStr">
        <is>
          <t>NA</t>
        </is>
      </c>
      <c r="Q250" s="13" t="inlineStr">
        <is>
          <t>NA</t>
        </is>
      </c>
      <c r="R250" s="7" t="n">
        <v>7208.84</v>
      </c>
      <c r="S250" s="7">
        <f>IFERROR($R250/$G250,"")</f>
        <v/>
      </c>
      <c r="T250" s="7" t="inlineStr">
        <is>
          <t>NA</t>
        </is>
      </c>
      <c r="U250" s="7" t="inlineStr">
        <is>
          <t>NA</t>
        </is>
      </c>
      <c r="V250" s="7" t="inlineStr">
        <is>
          <t>NA</t>
        </is>
      </c>
      <c r="W250" s="9">
        <f>IF(ISNUMBER($T250),$T250*$J250*Assumptions!$B$4,"NA")</f>
        <v/>
      </c>
      <c r="X250" s="9">
        <f>IF(ISNUMBER($U250),$U250*$J250*Assumptions!$B$4,"NA")</f>
        <v/>
      </c>
      <c r="Y250" s="9">
        <f>IF(ISNUMBER($V250),$V250*$J250*Assumptions!$B$4,"NA")</f>
        <v/>
      </c>
    </row>
    <row r="251">
      <c r="A251" s="5" t="inlineStr">
        <is>
          <t>Katsushiro</t>
        </is>
      </c>
      <c r="B251" s="5" t="inlineStr">
        <is>
          <t>Wear parts</t>
        </is>
      </c>
      <c r="C251" s="5" t="inlineStr">
        <is>
          <t>AST Trading Inc</t>
        </is>
      </c>
      <c r="D251" s="5" t="inlineStr">
        <is>
          <t>Trader/Distributor</t>
        </is>
      </c>
      <c r="E251" s="5" t="inlineStr">
        <is>
          <t>United States</t>
        </is>
      </c>
      <c r="F251" s="5" t="n">
        <v>2024</v>
      </c>
      <c r="G251" s="5" t="n">
        <v>96</v>
      </c>
      <c r="H251" s="7" t="n">
        <v>632.13</v>
      </c>
      <c r="I251" s="5" t="inlineStr">
        <is>
          <t>USD</t>
        </is>
      </c>
      <c r="J251" s="8">
        <f>IF($I251="AUD",Assumptions!$B$2,Assumptions!$B$3)</f>
        <v/>
      </c>
      <c r="K251" s="9">
        <f>$G251*$H251*$J251</f>
        <v/>
      </c>
      <c r="L251" s="9">
        <f>$K251*Assumptions!$B$4</f>
        <v/>
      </c>
      <c r="M251" s="9">
        <f>RawTx[[#This Row],[Value USD]]/RawTx[[#This Row],[Quantity]]</f>
        <v/>
      </c>
      <c r="N251" s="9">
        <f>RawTx[[#This Row],[Value IDR]]/RawTx[[#This Row],[Quantity]]</f>
        <v/>
      </c>
      <c r="O251" s="4" t="inlineStr">
        <is>
          <t>LINER KIT FRONT AND SIDE</t>
        </is>
      </c>
      <c r="P251" s="5" t="inlineStr">
        <is>
          <t>NA</t>
        </is>
      </c>
      <c r="Q251" s="13" t="inlineStr">
        <is>
          <t>NA</t>
        </is>
      </c>
      <c r="R251" s="7" t="n">
        <v>15338</v>
      </c>
      <c r="S251" s="7">
        <f>IFERROR($R251/$G251,"")</f>
        <v/>
      </c>
      <c r="T251" s="7" t="inlineStr">
        <is>
          <t>NA</t>
        </is>
      </c>
      <c r="U251" s="7" t="inlineStr">
        <is>
          <t>NA</t>
        </is>
      </c>
      <c r="V251" s="7" t="inlineStr">
        <is>
          <t>NA</t>
        </is>
      </c>
      <c r="W251" s="9">
        <f>IF(ISNUMBER($T251),$T251*$J251*Assumptions!$B$4,"NA")</f>
        <v/>
      </c>
      <c r="X251" s="9">
        <f>IF(ISNUMBER($U251),$U251*$J251*Assumptions!$B$4,"NA")</f>
        <v/>
      </c>
      <c r="Y251" s="9">
        <f>IF(ISNUMBER($V251),$V251*$J251*Assumptions!$B$4,"NA")</f>
        <v/>
      </c>
    </row>
    <row r="252">
      <c r="A252" s="5" t="inlineStr">
        <is>
          <t>Katsushiro</t>
        </is>
      </c>
      <c r="B252" s="5" t="inlineStr">
        <is>
          <t>Wear parts</t>
        </is>
      </c>
      <c r="C252" s="5" t="inlineStr">
        <is>
          <t>AST Trading Inc</t>
        </is>
      </c>
      <c r="D252" s="5" t="inlineStr">
        <is>
          <t>Trader/Distributor</t>
        </is>
      </c>
      <c r="E252" s="5" t="inlineStr">
        <is>
          <t>United States</t>
        </is>
      </c>
      <c r="F252" s="5" t="n">
        <v>2024</v>
      </c>
      <c r="G252" s="5" t="n">
        <v>134</v>
      </c>
      <c r="H252" s="7" t="n">
        <v>201.16</v>
      </c>
      <c r="I252" s="5" t="inlineStr">
        <is>
          <t>USD</t>
        </is>
      </c>
      <c r="J252" s="8">
        <f>IF($I252="AUD",Assumptions!$B$2,Assumptions!$B$3)</f>
        <v/>
      </c>
      <c r="K252" s="9">
        <f>$G252*$H252*$J252</f>
        <v/>
      </c>
      <c r="L252" s="9">
        <f>$K252*Assumptions!$B$4</f>
        <v/>
      </c>
      <c r="M252" s="9">
        <f>RawTx[[#This Row],[Value USD]]/RawTx[[#This Row],[Quantity]]</f>
        <v/>
      </c>
      <c r="N252" s="9">
        <f>RawTx[[#This Row],[Value IDR]]/RawTx[[#This Row],[Quantity]]</f>
        <v/>
      </c>
      <c r="O252" s="4" t="inlineStr">
        <is>
          <t>HM400</t>
        </is>
      </c>
      <c r="P252" s="5" t="inlineStr">
        <is>
          <t>Komatsu</t>
        </is>
      </c>
      <c r="Q252" s="13" t="inlineStr">
        <is>
          <t>HM400</t>
        </is>
      </c>
      <c r="R252" s="7" t="n">
        <v>9386.84</v>
      </c>
      <c r="S252" s="7">
        <f>IFERROR($R252/$G252,"")</f>
        <v/>
      </c>
      <c r="T252" s="7" t="inlineStr">
        <is>
          <t>NA</t>
        </is>
      </c>
      <c r="U252" s="7" t="inlineStr">
        <is>
          <t>NA</t>
        </is>
      </c>
      <c r="V252" s="7" t="inlineStr">
        <is>
          <t>NA</t>
        </is>
      </c>
      <c r="W252" s="9">
        <f>IF(ISNUMBER($T252),$T252*$J252*Assumptions!$B$4,"NA")</f>
        <v/>
      </c>
      <c r="X252" s="9">
        <f>IF(ISNUMBER($U252),$U252*$J252*Assumptions!$B$4,"NA")</f>
        <v/>
      </c>
      <c r="Y252" s="9">
        <f>IF(ISNUMBER($V252),$V252*$J252*Assumptions!$B$4,"NA")</f>
        <v/>
      </c>
    </row>
    <row r="253">
      <c r="A253" s="5" t="inlineStr">
        <is>
          <t>Katsushiro</t>
        </is>
      </c>
      <c r="B253" s="5" t="inlineStr">
        <is>
          <t>Wear parts</t>
        </is>
      </c>
      <c r="C253" s="5" t="inlineStr">
        <is>
          <t>AST Trading Inc</t>
        </is>
      </c>
      <c r="D253" s="5" t="inlineStr">
        <is>
          <t>Trader/Distributor</t>
        </is>
      </c>
      <c r="E253" s="5" t="inlineStr">
        <is>
          <t>United States</t>
        </is>
      </c>
      <c r="F253" s="5" t="n">
        <v>2024</v>
      </c>
      <c r="G253" s="5" t="n">
        <v>144</v>
      </c>
      <c r="H253" s="7" t="n">
        <v>324.64</v>
      </c>
      <c r="I253" s="5" t="inlineStr">
        <is>
          <t>USD</t>
        </is>
      </c>
      <c r="J253" s="8">
        <f>IF($I253="AUD",Assumptions!$B$2,Assumptions!$B$3)</f>
        <v/>
      </c>
      <c r="K253" s="9">
        <f>$G253*$H253*$J253</f>
        <v/>
      </c>
      <c r="L253" s="9">
        <f>$K253*Assumptions!$B$4</f>
        <v/>
      </c>
      <c r="M253" s="9">
        <f>RawTx[[#This Row],[Value USD]]/RawTx[[#This Row],[Quantity]]</f>
        <v/>
      </c>
      <c r="N253" s="9">
        <f>RawTx[[#This Row],[Value IDR]]/RawTx[[#This Row],[Quantity]]</f>
        <v/>
      </c>
      <c r="O253" s="4" t="inlineStr">
        <is>
          <t>SEMIFINISH LINER</t>
        </is>
      </c>
      <c r="P253" s="5" t="inlineStr">
        <is>
          <t>NA</t>
        </is>
      </c>
      <c r="Q253" s="13" t="inlineStr">
        <is>
          <t>NA</t>
        </is>
      </c>
      <c r="R253" s="7" t="n">
        <v>15309.2</v>
      </c>
      <c r="S253" s="7">
        <f>IFERROR($R253/$G253,"")</f>
        <v/>
      </c>
      <c r="T253" s="7" t="inlineStr">
        <is>
          <t>NA</t>
        </is>
      </c>
      <c r="U253" s="7" t="inlineStr">
        <is>
          <t>NA</t>
        </is>
      </c>
      <c r="V253" s="7" t="inlineStr">
        <is>
          <t>NA</t>
        </is>
      </c>
      <c r="W253" s="9">
        <f>IF(ISNUMBER($T253),$T253*$J253*Assumptions!$B$4,"NA")</f>
        <v/>
      </c>
      <c r="X253" s="9">
        <f>IF(ISNUMBER($U253),$U253*$J253*Assumptions!$B$4,"NA")</f>
        <v/>
      </c>
      <c r="Y253" s="9">
        <f>IF(ISNUMBER($V253),$V253*$J253*Assumptions!$B$4,"NA")</f>
        <v/>
      </c>
    </row>
    <row r="254">
      <c r="A254" s="5" t="inlineStr">
        <is>
          <t>Katsushiro</t>
        </is>
      </c>
      <c r="B254" s="5" t="inlineStr">
        <is>
          <t>Wear parts</t>
        </is>
      </c>
      <c r="C254" s="5" t="inlineStr">
        <is>
          <t>AST Trading Inc</t>
        </is>
      </c>
      <c r="D254" s="5" t="inlineStr">
        <is>
          <t>Trader/Distributor</t>
        </is>
      </c>
      <c r="E254" s="5" t="inlineStr">
        <is>
          <t>United States</t>
        </is>
      </c>
      <c r="F254" s="5" t="n">
        <v>2024</v>
      </c>
      <c r="G254" s="5" t="n">
        <v>78</v>
      </c>
      <c r="H254" s="7" t="n">
        <v>766.63</v>
      </c>
      <c r="I254" s="5" t="inlineStr">
        <is>
          <t>USD</t>
        </is>
      </c>
      <c r="J254" s="8">
        <f>IF($I254="AUD",Assumptions!$B$2,Assumptions!$B$3)</f>
        <v/>
      </c>
      <c r="K254" s="9">
        <f>$G254*$H254*$J254</f>
        <v/>
      </c>
      <c r="L254" s="9">
        <f>$K254*Assumptions!$B$4</f>
        <v/>
      </c>
      <c r="M254" s="9">
        <f>RawTx[[#This Row],[Value USD]]/RawTx[[#This Row],[Quantity]]</f>
        <v/>
      </c>
      <c r="N254" s="9">
        <f>RawTx[[#This Row],[Value IDR]]/RawTx[[#This Row],[Quantity]]</f>
        <v/>
      </c>
      <c r="O254" s="4" t="inlineStr">
        <is>
          <t>VESSEL FRONT HD605 AND SEMIFINISH LINER</t>
        </is>
      </c>
      <c r="P254" s="5" t="inlineStr">
        <is>
          <t>Komatsu</t>
        </is>
      </c>
      <c r="Q254" s="13" t="inlineStr">
        <is>
          <t>HD605</t>
        </is>
      </c>
      <c r="R254" s="7" t="n">
        <v>15749.5</v>
      </c>
      <c r="S254" s="7">
        <f>IFERROR($R254/$G254,"")</f>
        <v/>
      </c>
      <c r="T254" s="7" t="inlineStr">
        <is>
          <t>NA</t>
        </is>
      </c>
      <c r="U254" s="7" t="inlineStr">
        <is>
          <t>NA</t>
        </is>
      </c>
      <c r="V254" s="7" t="inlineStr">
        <is>
          <t>NA</t>
        </is>
      </c>
      <c r="W254" s="9">
        <f>IF(ISNUMBER($T254),$T254*$J254*Assumptions!$B$4,"NA")</f>
        <v/>
      </c>
      <c r="X254" s="9">
        <f>IF(ISNUMBER($U254),$U254*$J254*Assumptions!$B$4,"NA")</f>
        <v/>
      </c>
      <c r="Y254" s="9">
        <f>IF(ISNUMBER($V254),$V254*$J254*Assumptions!$B$4,"NA")</f>
        <v/>
      </c>
    </row>
    <row r="255">
      <c r="A255" s="5" t="inlineStr">
        <is>
          <t>Katsushiro</t>
        </is>
      </c>
      <c r="B255" s="5" t="inlineStr">
        <is>
          <t>Wear parts</t>
        </is>
      </c>
      <c r="C255" s="5" t="inlineStr">
        <is>
          <t>AST Trading Inc</t>
        </is>
      </c>
      <c r="D255" s="5" t="inlineStr">
        <is>
          <t>Trader/Distributor</t>
        </is>
      </c>
      <c r="E255" s="5" t="inlineStr">
        <is>
          <t>United States</t>
        </is>
      </c>
      <c r="F255" s="5" t="n">
        <v>2024</v>
      </c>
      <c r="G255" s="5" t="n">
        <v>83</v>
      </c>
      <c r="H255" s="7" t="n">
        <v>139.66</v>
      </c>
      <c r="I255" s="5" t="inlineStr">
        <is>
          <t>USD</t>
        </is>
      </c>
      <c r="J255" s="8">
        <f>IF($I255="AUD",Assumptions!$B$2,Assumptions!$B$3)</f>
        <v/>
      </c>
      <c r="K255" s="9">
        <f>$G255*$H255*$J255</f>
        <v/>
      </c>
      <c r="L255" s="9">
        <f>$K255*Assumptions!$B$4</f>
        <v/>
      </c>
      <c r="M255" s="9">
        <f>RawTx[[#This Row],[Value USD]]/RawTx[[#This Row],[Quantity]]</f>
        <v/>
      </c>
      <c r="N255" s="9">
        <f>RawTx[[#This Row],[Value IDR]]/RawTx[[#This Row],[Quantity]]</f>
        <v/>
      </c>
      <c r="O255" s="4" t="inlineStr">
        <is>
          <t>SEMIFINSH HD465</t>
        </is>
      </c>
      <c r="P255" s="5" t="inlineStr">
        <is>
          <t>Komatsu</t>
        </is>
      </c>
      <c r="Q255" s="13" t="inlineStr">
        <is>
          <t>HD465</t>
        </is>
      </c>
      <c r="R255" s="7" t="n">
        <v>3126.44</v>
      </c>
      <c r="S255" s="7">
        <f>IFERROR($R255/$G255,"")</f>
        <v/>
      </c>
      <c r="T255" s="7" t="inlineStr">
        <is>
          <t>NA</t>
        </is>
      </c>
      <c r="U255" s="7" t="inlineStr">
        <is>
          <t>NA</t>
        </is>
      </c>
      <c r="V255" s="7" t="inlineStr">
        <is>
          <t>NA</t>
        </is>
      </c>
      <c r="W255" s="9">
        <f>IF(ISNUMBER($T255),$T255*$J255*Assumptions!$B$4,"NA")</f>
        <v/>
      </c>
      <c r="X255" s="9">
        <f>IF(ISNUMBER($U255),$U255*$J255*Assumptions!$B$4,"NA")</f>
        <v/>
      </c>
      <c r="Y255" s="9">
        <f>IF(ISNUMBER($V255),$V255*$J255*Assumptions!$B$4,"NA")</f>
        <v/>
      </c>
    </row>
    <row r="256">
      <c r="A256" s="5" t="inlineStr">
        <is>
          <t>Katsushiro</t>
        </is>
      </c>
      <c r="B256" s="5" t="inlineStr">
        <is>
          <t>Wear parts</t>
        </is>
      </c>
      <c r="C256" s="5" t="inlineStr">
        <is>
          <t>AST Trading Inc</t>
        </is>
      </c>
      <c r="D256" s="5" t="inlineStr">
        <is>
          <t>Trader/Distributor</t>
        </is>
      </c>
      <c r="E256" s="5" t="inlineStr">
        <is>
          <t>United States</t>
        </is>
      </c>
      <c r="F256" s="5" t="n">
        <v>2024</v>
      </c>
      <c r="G256" s="5" t="n">
        <v>118</v>
      </c>
      <c r="H256" s="7" t="n">
        <v>386.8</v>
      </c>
      <c r="I256" s="5" t="inlineStr">
        <is>
          <t>USD</t>
        </is>
      </c>
      <c r="J256" s="8">
        <f>IF($I256="AUD",Assumptions!$B$2,Assumptions!$B$3)</f>
        <v/>
      </c>
      <c r="K256" s="9">
        <f>$G256*$H256*$J256</f>
        <v/>
      </c>
      <c r="L256" s="9">
        <f>$K256*Assumptions!$B$4</f>
        <v/>
      </c>
      <c r="M256" s="9">
        <f>RawTx[[#This Row],[Value USD]]/RawTx[[#This Row],[Quantity]]</f>
        <v/>
      </c>
      <c r="N256" s="9">
        <f>RawTx[[#This Row],[Value IDR]]/RawTx[[#This Row],[Quantity]]</f>
        <v/>
      </c>
      <c r="O256" s="4" t="inlineStr">
        <is>
          <t>LINER KIT FRONT AND SIDE</t>
        </is>
      </c>
      <c r="P256" s="5" t="inlineStr">
        <is>
          <t>NA</t>
        </is>
      </c>
      <c r="Q256" s="13" t="inlineStr">
        <is>
          <t>NA</t>
        </is>
      </c>
      <c r="R256" s="7" t="n">
        <v>14231.2</v>
      </c>
      <c r="S256" s="7">
        <f>IFERROR($R256/$G256,"")</f>
        <v/>
      </c>
      <c r="T256" s="7" t="inlineStr">
        <is>
          <t>NA</t>
        </is>
      </c>
      <c r="U256" s="7" t="inlineStr">
        <is>
          <t>NA</t>
        </is>
      </c>
      <c r="V256" s="7" t="inlineStr">
        <is>
          <t>NA</t>
        </is>
      </c>
      <c r="W256" s="9">
        <f>IF(ISNUMBER($T256),$T256*$J256*Assumptions!$B$4,"NA")</f>
        <v/>
      </c>
      <c r="X256" s="9">
        <f>IF(ISNUMBER($U256),$U256*$J256*Assumptions!$B$4,"NA")</f>
        <v/>
      </c>
      <c r="Y256" s="9">
        <f>IF(ISNUMBER($V256),$V256*$J256*Assumptions!$B$4,"NA")</f>
        <v/>
      </c>
    </row>
    <row r="257">
      <c r="A257" s="5" t="inlineStr">
        <is>
          <t>Katsushiro</t>
        </is>
      </c>
      <c r="B257" s="5" t="inlineStr">
        <is>
          <t>Wear parts</t>
        </is>
      </c>
      <c r="C257" s="5" t="inlineStr">
        <is>
          <t>AST Trading Inc</t>
        </is>
      </c>
      <c r="D257" s="5" t="inlineStr">
        <is>
          <t>Trader/Distributor</t>
        </is>
      </c>
      <c r="E257" s="5" t="inlineStr">
        <is>
          <t>United States</t>
        </is>
      </c>
      <c r="F257" s="5" t="n">
        <v>2024</v>
      </c>
      <c r="G257" s="5" t="n">
        <v>120</v>
      </c>
      <c r="H257" s="7" t="n">
        <v>390.7</v>
      </c>
      <c r="I257" s="5" t="inlineStr">
        <is>
          <t>USD</t>
        </is>
      </c>
      <c r="J257" s="8">
        <f>IF($I257="AUD",Assumptions!$B$2,Assumptions!$B$3)</f>
        <v/>
      </c>
      <c r="K257" s="9">
        <f>$G257*$H257*$J257</f>
        <v/>
      </c>
      <c r="L257" s="9">
        <f>$K257*Assumptions!$B$4</f>
        <v/>
      </c>
      <c r="M257" s="9">
        <f>RawTx[[#This Row],[Value USD]]/RawTx[[#This Row],[Quantity]]</f>
        <v/>
      </c>
      <c r="N257" s="9">
        <f>RawTx[[#This Row],[Value IDR]]/RawTx[[#This Row],[Quantity]]</f>
        <v/>
      </c>
      <c r="O257" s="4" t="inlineStr">
        <is>
          <t>LINER KIT FRONT AND SIDE</t>
        </is>
      </c>
      <c r="P257" s="5" t="inlineStr">
        <is>
          <t>NA</t>
        </is>
      </c>
      <c r="Q257" s="13" t="inlineStr">
        <is>
          <t>NA</t>
        </is>
      </c>
      <c r="R257" s="7" t="n">
        <v>14667.8</v>
      </c>
      <c r="S257" s="7">
        <f>IFERROR($R257/$G257,"")</f>
        <v/>
      </c>
      <c r="T257" s="7" t="inlineStr">
        <is>
          <t>NA</t>
        </is>
      </c>
      <c r="U257" s="7" t="inlineStr">
        <is>
          <t>NA</t>
        </is>
      </c>
      <c r="V257" s="7" t="inlineStr">
        <is>
          <t>NA</t>
        </is>
      </c>
      <c r="W257" s="9">
        <f>IF(ISNUMBER($T257),$T257*$J257*Assumptions!$B$4,"NA")</f>
        <v/>
      </c>
      <c r="X257" s="9">
        <f>IF(ISNUMBER($U257),$U257*$J257*Assumptions!$B$4,"NA")</f>
        <v/>
      </c>
      <c r="Y257" s="9">
        <f>IF(ISNUMBER($V257),$V257*$J257*Assumptions!$B$4,"NA")</f>
        <v/>
      </c>
    </row>
    <row r="258">
      <c r="A258" s="5" t="inlineStr">
        <is>
          <t>Katsushiro</t>
        </is>
      </c>
      <c r="B258" s="5" t="inlineStr">
        <is>
          <t>Brackets and fittings</t>
        </is>
      </c>
      <c r="C258" s="5" t="inlineStr">
        <is>
          <t>AST Trading Inc</t>
        </is>
      </c>
      <c r="D258" s="5" t="inlineStr">
        <is>
          <t>Trader/Distributor</t>
        </is>
      </c>
      <c r="E258" s="5" t="inlineStr">
        <is>
          <t>United States</t>
        </is>
      </c>
      <c r="F258" s="5" t="n">
        <v>2024</v>
      </c>
      <c r="G258" s="5" t="n">
        <v>72</v>
      </c>
      <c r="H258" s="7" t="n">
        <v>592.01</v>
      </c>
      <c r="I258" s="5" t="inlineStr">
        <is>
          <t>USD</t>
        </is>
      </c>
      <c r="J258" s="8">
        <f>IF($I258="AUD",Assumptions!$B$2,Assumptions!$B$3)</f>
        <v/>
      </c>
      <c r="K258" s="9">
        <f>$G258*$H258*$J258</f>
        <v/>
      </c>
      <c r="L258" s="9">
        <f>$K258*Assumptions!$B$4</f>
        <v/>
      </c>
      <c r="M258" s="9">
        <f>RawTx[[#This Row],[Value USD]]/RawTx[[#This Row],[Quantity]]</f>
        <v/>
      </c>
      <c r="N258" s="9">
        <f>RawTx[[#This Row],[Value IDR]]/RawTx[[#This Row],[Quantity]]</f>
        <v/>
      </c>
      <c r="O258" s="4" t="inlineStr">
        <is>
          <t>HM400 BRACKET LH/RH BODY PROTECTOR</t>
        </is>
      </c>
      <c r="P258" s="5" t="inlineStr">
        <is>
          <t>Komatsu</t>
        </is>
      </c>
      <c r="Q258" s="13" t="inlineStr">
        <is>
          <t>HM400</t>
        </is>
      </c>
      <c r="R258" s="7" t="n">
        <v>11172</v>
      </c>
      <c r="S258" s="7">
        <f>IFERROR($R258/$G258,"")</f>
        <v/>
      </c>
      <c r="T258" s="7" t="inlineStr">
        <is>
          <t>NA</t>
        </is>
      </c>
      <c r="U258" s="7" t="inlineStr">
        <is>
          <t>NA</t>
        </is>
      </c>
      <c r="V258" s="7" t="inlineStr">
        <is>
          <t>NA</t>
        </is>
      </c>
      <c r="W258" s="9">
        <f>IF(ISNUMBER($T258),$T258*$J258*Assumptions!$B$4,"NA")</f>
        <v/>
      </c>
      <c r="X258" s="9">
        <f>IF(ISNUMBER($U258),$U258*$J258*Assumptions!$B$4,"NA")</f>
        <v/>
      </c>
      <c r="Y258" s="9">
        <f>IF(ISNUMBER($V258),$V258*$J258*Assumptions!$B$4,"NA")</f>
        <v/>
      </c>
    </row>
    <row r="259">
      <c r="A259" s="5" t="inlineStr">
        <is>
          <t>Katsushiro</t>
        </is>
      </c>
      <c r="B259" s="5" t="inlineStr">
        <is>
          <t>Brackets and fittings</t>
        </is>
      </c>
      <c r="C259" s="5" t="inlineStr">
        <is>
          <t>AST Trading Inc</t>
        </is>
      </c>
      <c r="D259" s="5" t="inlineStr">
        <is>
          <t>Trader/Distributor</t>
        </is>
      </c>
      <c r="E259" s="5" t="inlineStr">
        <is>
          <t>United States</t>
        </is>
      </c>
      <c r="F259" s="5" t="n">
        <v>2024</v>
      </c>
      <c r="G259" s="5" t="n">
        <v>72</v>
      </c>
      <c r="H259" s="7" t="n">
        <v>563.66</v>
      </c>
      <c r="I259" s="5" t="inlineStr">
        <is>
          <t>USD</t>
        </is>
      </c>
      <c r="J259" s="8">
        <f>IF($I259="AUD",Assumptions!$B$2,Assumptions!$B$3)</f>
        <v/>
      </c>
      <c r="K259" s="9">
        <f>$G259*$H259*$J259</f>
        <v/>
      </c>
      <c r="L259" s="9">
        <f>$K259*Assumptions!$B$4</f>
        <v/>
      </c>
      <c r="M259" s="9">
        <f>RawTx[[#This Row],[Value USD]]/RawTx[[#This Row],[Quantity]]</f>
        <v/>
      </c>
      <c r="N259" s="9">
        <f>RawTx[[#This Row],[Value IDR]]/RawTx[[#This Row],[Quantity]]</f>
        <v/>
      </c>
      <c r="O259" s="4" t="inlineStr">
        <is>
          <t>HM400 BRACKET LH/RH BODY PROTECTOR</t>
        </is>
      </c>
      <c r="P259" s="5" t="inlineStr">
        <is>
          <t>Komatsu</t>
        </is>
      </c>
      <c r="Q259" s="13" t="inlineStr">
        <is>
          <t>HM400</t>
        </is>
      </c>
      <c r="R259" s="7" t="n">
        <v>11172</v>
      </c>
      <c r="S259" s="7">
        <f>IFERROR($R259/$G259,"")</f>
        <v/>
      </c>
      <c r="T259" s="7" t="inlineStr">
        <is>
          <t>NA</t>
        </is>
      </c>
      <c r="U259" s="7" t="inlineStr">
        <is>
          <t>NA</t>
        </is>
      </c>
      <c r="V259" s="7" t="inlineStr">
        <is>
          <t>NA</t>
        </is>
      </c>
      <c r="W259" s="9">
        <f>IF(ISNUMBER($T259),$T259*$J259*Assumptions!$B$4,"NA")</f>
        <v/>
      </c>
      <c r="X259" s="9">
        <f>IF(ISNUMBER($U259),$U259*$J259*Assumptions!$B$4,"NA")</f>
        <v/>
      </c>
      <c r="Y259" s="9">
        <f>IF(ISNUMBER($V259),$V259*$J259*Assumptions!$B$4,"NA")</f>
        <v/>
      </c>
    </row>
    <row r="260">
      <c r="A260" s="5" t="inlineStr">
        <is>
          <t>Katsushiro</t>
        </is>
      </c>
      <c r="B260" s="5" t="inlineStr">
        <is>
          <t>Brackets and fittings</t>
        </is>
      </c>
      <c r="C260" s="5" t="inlineStr">
        <is>
          <t>AST Trading Inc</t>
        </is>
      </c>
      <c r="D260" s="5" t="inlineStr">
        <is>
          <t>Trader/Distributor</t>
        </is>
      </c>
      <c r="E260" s="5" t="inlineStr">
        <is>
          <t>United States</t>
        </is>
      </c>
      <c r="F260" s="5" t="n">
        <v>2024</v>
      </c>
      <c r="G260" s="5" t="n">
        <v>72</v>
      </c>
      <c r="H260" s="7" t="n">
        <v>563.66</v>
      </c>
      <c r="I260" s="5" t="inlineStr">
        <is>
          <t>USD</t>
        </is>
      </c>
      <c r="J260" s="8">
        <f>IF($I260="AUD",Assumptions!$B$2,Assumptions!$B$3)</f>
        <v/>
      </c>
      <c r="K260" s="9">
        <f>$G260*$H260*$J260</f>
        <v/>
      </c>
      <c r="L260" s="9">
        <f>$K260*Assumptions!$B$4</f>
        <v/>
      </c>
      <c r="M260" s="9">
        <f>RawTx[[#This Row],[Value USD]]/RawTx[[#This Row],[Quantity]]</f>
        <v/>
      </c>
      <c r="N260" s="9">
        <f>RawTx[[#This Row],[Value IDR]]/RawTx[[#This Row],[Quantity]]</f>
        <v/>
      </c>
      <c r="O260" s="4" t="inlineStr">
        <is>
          <t>HM400 BRACKET LH/RH BODY PROTECTOR</t>
        </is>
      </c>
      <c r="P260" s="5" t="inlineStr">
        <is>
          <t>Komatsu</t>
        </is>
      </c>
      <c r="Q260" s="13" t="inlineStr">
        <is>
          <t>HM400</t>
        </is>
      </c>
      <c r="R260" s="7" t="n">
        <v>11172</v>
      </c>
      <c r="S260" s="7">
        <f>IFERROR($R260/$G260,"")</f>
        <v/>
      </c>
      <c r="T260" s="7" t="inlineStr">
        <is>
          <t>NA</t>
        </is>
      </c>
      <c r="U260" s="7" t="inlineStr">
        <is>
          <t>NA</t>
        </is>
      </c>
      <c r="V260" s="7" t="inlineStr">
        <is>
          <t>NA</t>
        </is>
      </c>
      <c r="W260" s="9">
        <f>IF(ISNUMBER($T260),$T260*$J260*Assumptions!$B$4,"NA")</f>
        <v/>
      </c>
      <c r="X260" s="9">
        <f>IF(ISNUMBER($U260),$U260*$J260*Assumptions!$B$4,"NA")</f>
        <v/>
      </c>
      <c r="Y260" s="9">
        <f>IF(ISNUMBER($V260),$V260*$J260*Assumptions!$B$4,"NA")</f>
        <v/>
      </c>
    </row>
    <row r="261">
      <c r="A261" s="5" t="inlineStr">
        <is>
          <t>Katsushiro</t>
        </is>
      </c>
      <c r="B261" s="5" t="inlineStr">
        <is>
          <t>Brackets and fittings</t>
        </is>
      </c>
      <c r="C261" s="5" t="inlineStr">
        <is>
          <t>AST Trading Inc</t>
        </is>
      </c>
      <c r="D261" s="5" t="inlineStr">
        <is>
          <t>Trader/Distributor</t>
        </is>
      </c>
      <c r="E261" s="5" t="inlineStr">
        <is>
          <t>United States</t>
        </is>
      </c>
      <c r="F261" s="5" t="n">
        <v>2024</v>
      </c>
      <c r="G261" s="5" t="n">
        <v>72</v>
      </c>
      <c r="H261" s="7" t="n">
        <v>563.66</v>
      </c>
      <c r="I261" s="5" t="inlineStr">
        <is>
          <t>USD</t>
        </is>
      </c>
      <c r="J261" s="8">
        <f>IF($I261="AUD",Assumptions!$B$2,Assumptions!$B$3)</f>
        <v/>
      </c>
      <c r="K261" s="9">
        <f>$G261*$H261*$J261</f>
        <v/>
      </c>
      <c r="L261" s="9">
        <f>$K261*Assumptions!$B$4</f>
        <v/>
      </c>
      <c r="M261" s="9">
        <f>RawTx[[#This Row],[Value USD]]/RawTx[[#This Row],[Quantity]]</f>
        <v/>
      </c>
      <c r="N261" s="9">
        <f>RawTx[[#This Row],[Value IDR]]/RawTx[[#This Row],[Quantity]]</f>
        <v/>
      </c>
      <c r="O261" s="4" t="inlineStr">
        <is>
          <t>HM400 BRACKET LH/RH BODY PROTECTOR</t>
        </is>
      </c>
      <c r="P261" s="5" t="inlineStr">
        <is>
          <t>Komatsu</t>
        </is>
      </c>
      <c r="Q261" s="13" t="inlineStr">
        <is>
          <t>HM400</t>
        </is>
      </c>
      <c r="R261" s="7" t="n">
        <v>11172</v>
      </c>
      <c r="S261" s="7">
        <f>IFERROR($R261/$G261,"")</f>
        <v/>
      </c>
      <c r="T261" s="7" t="inlineStr">
        <is>
          <t>NA</t>
        </is>
      </c>
      <c r="U261" s="7" t="inlineStr">
        <is>
          <t>NA</t>
        </is>
      </c>
      <c r="V261" s="7" t="inlineStr">
        <is>
          <t>NA</t>
        </is>
      </c>
      <c r="W261" s="9">
        <f>IF(ISNUMBER($T261),$T261*$J261*Assumptions!$B$4,"NA")</f>
        <v/>
      </c>
      <c r="X261" s="9">
        <f>IF(ISNUMBER($U261),$U261*$J261*Assumptions!$B$4,"NA")</f>
        <v/>
      </c>
      <c r="Y261" s="9">
        <f>IF(ISNUMBER($V261),$V261*$J261*Assumptions!$B$4,"NA")</f>
        <v/>
      </c>
    </row>
    <row r="262">
      <c r="A262" s="5" t="inlineStr">
        <is>
          <t>Katsushiro</t>
        </is>
      </c>
      <c r="B262" s="5" t="inlineStr">
        <is>
          <t>Brackets and fittings</t>
        </is>
      </c>
      <c r="C262" s="5" t="inlineStr">
        <is>
          <t>AST Trading Inc</t>
        </is>
      </c>
      <c r="D262" s="5" t="inlineStr">
        <is>
          <t>Trader/Distributor</t>
        </is>
      </c>
      <c r="E262" s="5" t="inlineStr">
        <is>
          <t>United States</t>
        </is>
      </c>
      <c r="F262" s="5" t="n">
        <v>2024</v>
      </c>
      <c r="G262" s="5" t="n">
        <v>72</v>
      </c>
      <c r="H262" s="7" t="n">
        <v>563.66</v>
      </c>
      <c r="I262" s="5" t="inlineStr">
        <is>
          <t>USD</t>
        </is>
      </c>
      <c r="J262" s="8">
        <f>IF($I262="AUD",Assumptions!$B$2,Assumptions!$B$3)</f>
        <v/>
      </c>
      <c r="K262" s="9">
        <f>$G262*$H262*$J262</f>
        <v/>
      </c>
      <c r="L262" s="9">
        <f>$K262*Assumptions!$B$4</f>
        <v/>
      </c>
      <c r="M262" s="9">
        <f>RawTx[[#This Row],[Value USD]]/RawTx[[#This Row],[Quantity]]</f>
        <v/>
      </c>
      <c r="N262" s="9">
        <f>RawTx[[#This Row],[Value IDR]]/RawTx[[#This Row],[Quantity]]</f>
        <v/>
      </c>
      <c r="O262" s="4" t="inlineStr">
        <is>
          <t>HM400 BRACKET LH/RH BODY PROTECTOR</t>
        </is>
      </c>
      <c r="P262" s="5" t="inlineStr">
        <is>
          <t>Komatsu</t>
        </is>
      </c>
      <c r="Q262" s="13" t="inlineStr">
        <is>
          <t>HM400</t>
        </is>
      </c>
      <c r="R262" s="7" t="n">
        <v>11172</v>
      </c>
      <c r="S262" s="7">
        <f>IFERROR($R262/$G262,"")</f>
        <v/>
      </c>
      <c r="T262" s="7" t="inlineStr">
        <is>
          <t>NA</t>
        </is>
      </c>
      <c r="U262" s="7" t="inlineStr">
        <is>
          <t>NA</t>
        </is>
      </c>
      <c r="V262" s="7" t="inlineStr">
        <is>
          <t>NA</t>
        </is>
      </c>
      <c r="W262" s="9">
        <f>IF(ISNUMBER($T262),$T262*$J262*Assumptions!$B$4,"NA")</f>
        <v/>
      </c>
      <c r="X262" s="9">
        <f>IF(ISNUMBER($U262),$U262*$J262*Assumptions!$B$4,"NA")</f>
        <v/>
      </c>
      <c r="Y262" s="9">
        <f>IF(ISNUMBER($V262),$V262*$J262*Assumptions!$B$4,"NA")</f>
        <v/>
      </c>
    </row>
    <row r="263">
      <c r="A263" s="5" t="inlineStr">
        <is>
          <t>Katsushiro</t>
        </is>
      </c>
      <c r="B263" s="5" t="inlineStr">
        <is>
          <t>Brackets and fittings</t>
        </is>
      </c>
      <c r="C263" s="5" t="inlineStr">
        <is>
          <t>AST Trading Inc</t>
        </is>
      </c>
      <c r="D263" s="5" t="inlineStr">
        <is>
          <t>Trader/Distributor</t>
        </is>
      </c>
      <c r="E263" s="5" t="inlineStr">
        <is>
          <t>United States</t>
        </is>
      </c>
      <c r="F263" s="5" t="n">
        <v>2024</v>
      </c>
      <c r="G263" s="5" t="n">
        <v>72</v>
      </c>
      <c r="H263" s="7" t="n">
        <v>563.66</v>
      </c>
      <c r="I263" s="5" t="inlineStr">
        <is>
          <t>USD</t>
        </is>
      </c>
      <c r="J263" s="8">
        <f>IF($I263="AUD",Assumptions!$B$2,Assumptions!$B$3)</f>
        <v/>
      </c>
      <c r="K263" s="9">
        <f>$G263*$H263*$J263</f>
        <v/>
      </c>
      <c r="L263" s="9">
        <f>$K263*Assumptions!$B$4</f>
        <v/>
      </c>
      <c r="M263" s="9">
        <f>RawTx[[#This Row],[Value USD]]/RawTx[[#This Row],[Quantity]]</f>
        <v/>
      </c>
      <c r="N263" s="9">
        <f>RawTx[[#This Row],[Value IDR]]/RawTx[[#This Row],[Quantity]]</f>
        <v/>
      </c>
      <c r="O263" s="4" t="inlineStr">
        <is>
          <t>HM400 BRACKET LH/RH BODY PROTECTOR</t>
        </is>
      </c>
      <c r="P263" s="5" t="inlineStr">
        <is>
          <t>Komatsu</t>
        </is>
      </c>
      <c r="Q263" s="13" t="inlineStr">
        <is>
          <t>HM400</t>
        </is>
      </c>
      <c r="R263" s="7" t="n">
        <v>11172</v>
      </c>
      <c r="S263" s="7">
        <f>IFERROR($R263/$G263,"")</f>
        <v/>
      </c>
      <c r="T263" s="7" t="inlineStr">
        <is>
          <t>NA</t>
        </is>
      </c>
      <c r="U263" s="7" t="inlineStr">
        <is>
          <t>NA</t>
        </is>
      </c>
      <c r="V263" s="7" t="inlineStr">
        <is>
          <t>NA</t>
        </is>
      </c>
      <c r="W263" s="9">
        <f>IF(ISNUMBER($T263),$T263*$J263*Assumptions!$B$4,"NA")</f>
        <v/>
      </c>
      <c r="X263" s="9">
        <f>IF(ISNUMBER($U263),$U263*$J263*Assumptions!$B$4,"NA")</f>
        <v/>
      </c>
      <c r="Y263" s="9">
        <f>IF(ISNUMBER($V263),$V263*$J263*Assumptions!$B$4,"NA")</f>
        <v/>
      </c>
    </row>
    <row r="264">
      <c r="A264" s="5" t="inlineStr">
        <is>
          <t>Katsushiro</t>
        </is>
      </c>
      <c r="B264" s="5" t="inlineStr">
        <is>
          <t>Brackets and fittings</t>
        </is>
      </c>
      <c r="C264" s="5" t="inlineStr">
        <is>
          <t>AST Trading Inc</t>
        </is>
      </c>
      <c r="D264" s="5" t="inlineStr">
        <is>
          <t>Trader/Distributor</t>
        </is>
      </c>
      <c r="E264" s="5" t="inlineStr">
        <is>
          <t>United States</t>
        </is>
      </c>
      <c r="F264" s="5" t="n">
        <v>2024</v>
      </c>
      <c r="G264" s="5" t="n">
        <v>72</v>
      </c>
      <c r="H264" s="7" t="n">
        <v>563.66</v>
      </c>
      <c r="I264" s="5" t="inlineStr">
        <is>
          <t>USD</t>
        </is>
      </c>
      <c r="J264" s="8">
        <f>IF($I264="AUD",Assumptions!$B$2,Assumptions!$B$3)</f>
        <v/>
      </c>
      <c r="K264" s="9">
        <f>$G264*$H264*$J264</f>
        <v/>
      </c>
      <c r="L264" s="9">
        <f>$K264*Assumptions!$B$4</f>
        <v/>
      </c>
      <c r="M264" s="9">
        <f>RawTx[[#This Row],[Value USD]]/RawTx[[#This Row],[Quantity]]</f>
        <v/>
      </c>
      <c r="N264" s="9">
        <f>RawTx[[#This Row],[Value IDR]]/RawTx[[#This Row],[Quantity]]</f>
        <v/>
      </c>
      <c r="O264" s="4" t="inlineStr">
        <is>
          <t>HM400 BRACKET LH/RH BODY PROTECTOR</t>
        </is>
      </c>
      <c r="P264" s="5" t="inlineStr">
        <is>
          <t>Komatsu</t>
        </is>
      </c>
      <c r="Q264" s="13" t="inlineStr">
        <is>
          <t>HM400</t>
        </is>
      </c>
      <c r="R264" s="7" t="n">
        <v>11172</v>
      </c>
      <c r="S264" s="7">
        <f>IFERROR($R264/$G264,"")</f>
        <v/>
      </c>
      <c r="T264" s="7" t="inlineStr">
        <is>
          <t>NA</t>
        </is>
      </c>
      <c r="U264" s="7" t="inlineStr">
        <is>
          <t>NA</t>
        </is>
      </c>
      <c r="V264" s="7" t="inlineStr">
        <is>
          <t>NA</t>
        </is>
      </c>
      <c r="W264" s="9">
        <f>IF(ISNUMBER($T264),$T264*$J264*Assumptions!$B$4,"NA")</f>
        <v/>
      </c>
      <c r="X264" s="9">
        <f>IF(ISNUMBER($U264),$U264*$J264*Assumptions!$B$4,"NA")</f>
        <v/>
      </c>
      <c r="Y264" s="9">
        <f>IF(ISNUMBER($V264),$V264*$J264*Assumptions!$B$4,"NA")</f>
        <v/>
      </c>
    </row>
    <row r="265">
      <c r="A265" s="5" t="inlineStr">
        <is>
          <t>Katsushiro</t>
        </is>
      </c>
      <c r="B265" s="5" t="inlineStr">
        <is>
          <t>Brackets and fittings</t>
        </is>
      </c>
      <c r="C265" s="5" t="inlineStr">
        <is>
          <t>AST Trading Inc</t>
        </is>
      </c>
      <c r="D265" s="5" t="inlineStr">
        <is>
          <t>Trader/Distributor</t>
        </is>
      </c>
      <c r="E265" s="5" t="inlineStr">
        <is>
          <t>United States</t>
        </is>
      </c>
      <c r="F265" s="5" t="n">
        <v>2024</v>
      </c>
      <c r="G265" s="5" t="n">
        <v>72</v>
      </c>
      <c r="H265" s="7" t="n">
        <v>542.53</v>
      </c>
      <c r="I265" s="5" t="inlineStr">
        <is>
          <t>USD</t>
        </is>
      </c>
      <c r="J265" s="8">
        <f>IF($I265="AUD",Assumptions!$B$2,Assumptions!$B$3)</f>
        <v/>
      </c>
      <c r="K265" s="9">
        <f>$G265*$H265*$J265</f>
        <v/>
      </c>
      <c r="L265" s="9">
        <f>$K265*Assumptions!$B$4</f>
        <v/>
      </c>
      <c r="M265" s="9">
        <f>RawTx[[#This Row],[Value USD]]/RawTx[[#This Row],[Quantity]]</f>
        <v/>
      </c>
      <c r="N265" s="9">
        <f>RawTx[[#This Row],[Value IDR]]/RawTx[[#This Row],[Quantity]]</f>
        <v/>
      </c>
      <c r="O265" s="4" t="inlineStr">
        <is>
          <t>HM400 BRACKET LH/RH BODY PROTECTOR</t>
        </is>
      </c>
      <c r="P265" s="5" t="inlineStr">
        <is>
          <t>Komatsu</t>
        </is>
      </c>
      <c r="Q265" s="13" t="inlineStr">
        <is>
          <t>HM400</t>
        </is>
      </c>
      <c r="R265" s="7" t="n">
        <v>11172</v>
      </c>
      <c r="S265" s="7">
        <f>IFERROR($R265/$G265,"")</f>
        <v/>
      </c>
      <c r="T265" s="7" t="inlineStr">
        <is>
          <t>NA</t>
        </is>
      </c>
      <c r="U265" s="7" t="inlineStr">
        <is>
          <t>NA</t>
        </is>
      </c>
      <c r="V265" s="7" t="inlineStr">
        <is>
          <t>NA</t>
        </is>
      </c>
      <c r="W265" s="9">
        <f>IF(ISNUMBER($T265),$T265*$J265*Assumptions!$B$4,"NA")</f>
        <v/>
      </c>
      <c r="X265" s="9">
        <f>IF(ISNUMBER($U265),$U265*$J265*Assumptions!$B$4,"NA")</f>
        <v/>
      </c>
      <c r="Y265" s="9">
        <f>IF(ISNUMBER($V265),$V265*$J265*Assumptions!$B$4,"NA")</f>
        <v/>
      </c>
    </row>
    <row r="266">
      <c r="A266" s="5" t="inlineStr">
        <is>
          <t>Katsushiro</t>
        </is>
      </c>
      <c r="B266" s="5" t="inlineStr">
        <is>
          <t>Brackets and fittings</t>
        </is>
      </c>
      <c r="C266" s="5" t="inlineStr">
        <is>
          <t>AST Trading Inc</t>
        </is>
      </c>
      <c r="D266" s="5" t="inlineStr">
        <is>
          <t>Trader/Distributor</t>
        </is>
      </c>
      <c r="E266" s="5" t="inlineStr">
        <is>
          <t>United States</t>
        </is>
      </c>
      <c r="F266" s="5" t="n">
        <v>2024</v>
      </c>
      <c r="G266" s="5" t="n">
        <v>144</v>
      </c>
      <c r="H266" s="7" t="n">
        <v>542.53</v>
      </c>
      <c r="I266" s="5" t="inlineStr">
        <is>
          <t>USD</t>
        </is>
      </c>
      <c r="J266" s="8">
        <f>IF($I266="AUD",Assumptions!$B$2,Assumptions!$B$3)</f>
        <v/>
      </c>
      <c r="K266" s="9">
        <f>$G266*$H266*$J266</f>
        <v/>
      </c>
      <c r="L266" s="9">
        <f>$K266*Assumptions!$B$4</f>
        <v/>
      </c>
      <c r="M266" s="9">
        <f>RawTx[[#This Row],[Value USD]]/RawTx[[#This Row],[Quantity]]</f>
        <v/>
      </c>
      <c r="N266" s="9">
        <f>RawTx[[#This Row],[Value IDR]]/RawTx[[#This Row],[Quantity]]</f>
        <v/>
      </c>
      <c r="O266" s="4" t="inlineStr">
        <is>
          <t>HM400 BRACKET LH/RH BODY PROTECTOR</t>
        </is>
      </c>
      <c r="P266" s="5" t="inlineStr">
        <is>
          <t>Komatsu</t>
        </is>
      </c>
      <c r="Q266" s="13" t="inlineStr">
        <is>
          <t>HM400</t>
        </is>
      </c>
      <c r="R266" s="7" t="n">
        <v>22344</v>
      </c>
      <c r="S266" s="7">
        <f>IFERROR($R266/$G266,"")</f>
        <v/>
      </c>
      <c r="T266" s="7" t="inlineStr">
        <is>
          <t>NA</t>
        </is>
      </c>
      <c r="U266" s="7" t="inlineStr">
        <is>
          <t>NA</t>
        </is>
      </c>
      <c r="V266" s="7" t="inlineStr">
        <is>
          <t>NA</t>
        </is>
      </c>
      <c r="W266" s="9">
        <f>IF(ISNUMBER($T266),$T266*$J266*Assumptions!$B$4,"NA")</f>
        <v/>
      </c>
      <c r="X266" s="9">
        <f>IF(ISNUMBER($U266),$U266*$J266*Assumptions!$B$4,"NA")</f>
        <v/>
      </c>
      <c r="Y266" s="9">
        <f>IF(ISNUMBER($V266),$V266*$J266*Assumptions!$B$4,"NA")</f>
        <v/>
      </c>
    </row>
    <row r="267">
      <c r="A267" s="5" t="inlineStr">
        <is>
          <t>Katsushiro</t>
        </is>
      </c>
      <c r="B267" s="5" t="inlineStr">
        <is>
          <t>Brackets and fittings</t>
        </is>
      </c>
      <c r="C267" s="5" t="inlineStr">
        <is>
          <t>AST Trading Inc</t>
        </is>
      </c>
      <c r="D267" s="5" t="inlineStr">
        <is>
          <t>Trader/Distributor</t>
        </is>
      </c>
      <c r="E267" s="5" t="inlineStr">
        <is>
          <t>United States</t>
        </is>
      </c>
      <c r="F267" s="5" t="n">
        <v>2024</v>
      </c>
      <c r="G267" s="5" t="n">
        <v>144</v>
      </c>
      <c r="H267" s="7" t="n">
        <v>542.53</v>
      </c>
      <c r="I267" s="5" t="inlineStr">
        <is>
          <t>USD</t>
        </is>
      </c>
      <c r="J267" s="8">
        <f>IF($I267="AUD",Assumptions!$B$2,Assumptions!$B$3)</f>
        <v/>
      </c>
      <c r="K267" s="9">
        <f>$G267*$H267*$J267</f>
        <v/>
      </c>
      <c r="L267" s="9">
        <f>$K267*Assumptions!$B$4</f>
        <v/>
      </c>
      <c r="M267" s="9">
        <f>RawTx[[#This Row],[Value USD]]/RawTx[[#This Row],[Quantity]]</f>
        <v/>
      </c>
      <c r="N267" s="9">
        <f>RawTx[[#This Row],[Value IDR]]/RawTx[[#This Row],[Quantity]]</f>
        <v/>
      </c>
      <c r="O267" s="4" t="inlineStr">
        <is>
          <t>HMM400 BRACKET LH/RH BODY PROTECTOR</t>
        </is>
      </c>
      <c r="P267" s="5" t="inlineStr">
        <is>
          <t>Komatsu</t>
        </is>
      </c>
      <c r="Q267" s="14" t="inlineStr">
        <is>
          <t>HM400</t>
        </is>
      </c>
      <c r="R267" s="7" t="n">
        <v>22344</v>
      </c>
      <c r="S267" s="7">
        <f>IFERROR($R267/$G267,"")</f>
        <v/>
      </c>
      <c r="T267" s="7" t="inlineStr">
        <is>
          <t>NA</t>
        </is>
      </c>
      <c r="U267" s="7" t="inlineStr">
        <is>
          <t>NA</t>
        </is>
      </c>
      <c r="V267" s="7" t="inlineStr">
        <is>
          <t>NA</t>
        </is>
      </c>
      <c r="W267" s="9">
        <f>IF(ISNUMBER($T267),$T267*$J267*Assumptions!$B$4,"NA")</f>
        <v/>
      </c>
      <c r="X267" s="9">
        <f>IF(ISNUMBER($U267),$U267*$J267*Assumptions!$B$4,"NA")</f>
        <v/>
      </c>
      <c r="Y267" s="9">
        <f>IF(ISNUMBER($V267),$V267*$J267*Assumptions!$B$4,"NA")</f>
        <v/>
      </c>
    </row>
    <row r="268">
      <c r="A268" s="5" t="inlineStr">
        <is>
          <t>Katsushiro</t>
        </is>
      </c>
      <c r="B268" s="5" t="inlineStr">
        <is>
          <t>Brackets and fittings</t>
        </is>
      </c>
      <c r="C268" s="5" t="inlineStr">
        <is>
          <t>AST Trading Inc</t>
        </is>
      </c>
      <c r="D268" s="5" t="inlineStr">
        <is>
          <t>Trader/Distributor</t>
        </is>
      </c>
      <c r="E268" s="5" t="inlineStr">
        <is>
          <t>United States</t>
        </is>
      </c>
      <c r="F268" s="5" t="n">
        <v>2024</v>
      </c>
      <c r="G268" s="5" t="n">
        <v>40</v>
      </c>
      <c r="H268" s="7" t="n">
        <v>574.42</v>
      </c>
      <c r="I268" s="5" t="inlineStr">
        <is>
          <t>USD</t>
        </is>
      </c>
      <c r="J268" s="8">
        <f>IF($I268="AUD",Assumptions!$B$2,Assumptions!$B$3)</f>
        <v/>
      </c>
      <c r="K268" s="9">
        <f>$G268*$H268*$J268</f>
        <v/>
      </c>
      <c r="L268" s="9">
        <f>$K268*Assumptions!$B$4</f>
        <v/>
      </c>
      <c r="M268" s="9">
        <f>RawTx[[#This Row],[Value USD]]/RawTx[[#This Row],[Quantity]]</f>
        <v/>
      </c>
      <c r="N268" s="9">
        <f>RawTx[[#This Row],[Value IDR]]/RawTx[[#This Row],[Quantity]]</f>
        <v/>
      </c>
      <c r="O268" s="4" t="inlineStr">
        <is>
          <t>HINGE</t>
        </is>
      </c>
      <c r="P268" s="5" t="inlineStr">
        <is>
          <t>NA</t>
        </is>
      </c>
      <c r="Q268" s="13" t="inlineStr">
        <is>
          <t>NA</t>
        </is>
      </c>
      <c r="R268" s="7" t="n">
        <v>8597.76</v>
      </c>
      <c r="S268" s="7">
        <f>IFERROR($R268/$G268,"")</f>
        <v/>
      </c>
      <c r="T268" s="7" t="inlineStr">
        <is>
          <t>NA</t>
        </is>
      </c>
      <c r="U268" s="7" t="inlineStr">
        <is>
          <t>NA</t>
        </is>
      </c>
      <c r="V268" s="7" t="inlineStr">
        <is>
          <t>NA</t>
        </is>
      </c>
      <c r="W268" s="9">
        <f>IF(ISNUMBER($T268),$T268*$J268*Assumptions!$B$4,"NA")</f>
        <v/>
      </c>
      <c r="X268" s="9">
        <f>IF(ISNUMBER($U268),$U268*$J268*Assumptions!$B$4,"NA")</f>
        <v/>
      </c>
      <c r="Y268" s="9">
        <f>IF(ISNUMBER($V268),$V268*$J268*Assumptions!$B$4,"NA")</f>
        <v/>
      </c>
    </row>
    <row r="269">
      <c r="A269" s="5" t="inlineStr">
        <is>
          <t>Katsushiro</t>
        </is>
      </c>
      <c r="B269" s="5" t="inlineStr">
        <is>
          <t>Brackets and fittings</t>
        </is>
      </c>
      <c r="C269" s="5" t="inlineStr">
        <is>
          <t>AST Trading Inc</t>
        </is>
      </c>
      <c r="D269" s="5" t="inlineStr">
        <is>
          <t>Trader/Distributor</t>
        </is>
      </c>
      <c r="E269" s="5" t="inlineStr">
        <is>
          <t>United States</t>
        </is>
      </c>
      <c r="F269" s="5" t="n">
        <v>2024</v>
      </c>
      <c r="G269" s="5" t="n">
        <v>54</v>
      </c>
      <c r="H269" s="7" t="n">
        <v>547.22</v>
      </c>
      <c r="I269" s="5" t="inlineStr">
        <is>
          <t>USD</t>
        </is>
      </c>
      <c r="J269" s="8">
        <f>IF($I269="AUD",Assumptions!$B$2,Assumptions!$B$3)</f>
        <v/>
      </c>
      <c r="K269" s="9">
        <f>$G269*$H269*$J269</f>
        <v/>
      </c>
      <c r="L269" s="9">
        <f>$K269*Assumptions!$B$4</f>
        <v/>
      </c>
      <c r="M269" s="9">
        <f>RawTx[[#This Row],[Value USD]]/RawTx[[#This Row],[Quantity]]</f>
        <v/>
      </c>
      <c r="N269" s="9">
        <f>RawTx[[#This Row],[Value IDR]]/RawTx[[#This Row],[Quantity]]</f>
        <v/>
      </c>
      <c r="O269" s="4" t="inlineStr">
        <is>
          <t>HMM400 BRACKET LH/RH BODY PROTECTOR</t>
        </is>
      </c>
      <c r="P269" s="5" t="inlineStr">
        <is>
          <t>Komatsu</t>
        </is>
      </c>
      <c r="Q269" s="14" t="inlineStr">
        <is>
          <t>HM400</t>
        </is>
      </c>
      <c r="R269" s="7" t="n">
        <v>8379</v>
      </c>
      <c r="S269" s="7">
        <f>IFERROR($R269/$G269,"")</f>
        <v/>
      </c>
      <c r="T269" s="7" t="inlineStr">
        <is>
          <t>NA</t>
        </is>
      </c>
      <c r="U269" s="7" t="inlineStr">
        <is>
          <t>NA</t>
        </is>
      </c>
      <c r="V269" s="7" t="inlineStr">
        <is>
          <t>NA</t>
        </is>
      </c>
      <c r="W269" s="9">
        <f>IF(ISNUMBER($T269),$T269*$J269*Assumptions!$B$4,"NA")</f>
        <v/>
      </c>
      <c r="X269" s="9">
        <f>IF(ISNUMBER($U269),$U269*$J269*Assumptions!$B$4,"NA")</f>
        <v/>
      </c>
      <c r="Y269" s="9">
        <f>IF(ISNUMBER($V269),$V269*$J269*Assumptions!$B$4,"NA")</f>
        <v/>
      </c>
    </row>
    <row r="270">
      <c r="A270" s="5" t="inlineStr">
        <is>
          <t>Katsushiro</t>
        </is>
      </c>
      <c r="B270" s="5" t="inlineStr">
        <is>
          <t>Brackets and fittings</t>
        </is>
      </c>
      <c r="C270" s="5" t="inlineStr">
        <is>
          <t>AST Trading Inc</t>
        </is>
      </c>
      <c r="D270" s="5" t="inlineStr">
        <is>
          <t>Trader/Distributor</t>
        </is>
      </c>
      <c r="E270" s="5" t="inlineStr">
        <is>
          <t>United States</t>
        </is>
      </c>
      <c r="F270" s="5" t="n">
        <v>2024</v>
      </c>
      <c r="G270" s="5" t="n">
        <v>40</v>
      </c>
      <c r="H270" s="7" t="n">
        <v>688.77</v>
      </c>
      <c r="I270" s="5" t="inlineStr">
        <is>
          <t>USD</t>
        </is>
      </c>
      <c r="J270" s="8">
        <f>IF($I270="AUD",Assumptions!$B$2,Assumptions!$B$3)</f>
        <v/>
      </c>
      <c r="K270" s="9">
        <f>$G270*$H270*$J270</f>
        <v/>
      </c>
      <c r="L270" s="9">
        <f>$K270*Assumptions!$B$4</f>
        <v/>
      </c>
      <c r="M270" s="9">
        <f>RawTx[[#This Row],[Value USD]]/RawTx[[#This Row],[Quantity]]</f>
        <v/>
      </c>
      <c r="N270" s="9">
        <f>RawTx[[#This Row],[Value IDR]]/RawTx[[#This Row],[Quantity]]</f>
        <v/>
      </c>
      <c r="O270" s="4" t="inlineStr">
        <is>
          <t>BODY PIVOT BRACKET HD605</t>
        </is>
      </c>
      <c r="P270" s="5" t="inlineStr">
        <is>
          <t>Komatsu</t>
        </is>
      </c>
      <c r="Q270" s="13" t="inlineStr">
        <is>
          <t>HD605</t>
        </is>
      </c>
      <c r="R270" s="7" t="n">
        <v>7466</v>
      </c>
      <c r="S270" s="7">
        <f>IFERROR($R270/$G270,"")</f>
        <v/>
      </c>
      <c r="T270" s="7" t="inlineStr">
        <is>
          <t>NA</t>
        </is>
      </c>
      <c r="U270" s="7" t="inlineStr">
        <is>
          <t>NA</t>
        </is>
      </c>
      <c r="V270" s="7" t="inlineStr">
        <is>
          <t>NA</t>
        </is>
      </c>
      <c r="W270" s="9">
        <f>IF(ISNUMBER($T270),$T270*$J270*Assumptions!$B$4,"NA")</f>
        <v/>
      </c>
      <c r="X270" s="9">
        <f>IF(ISNUMBER($U270),$U270*$J270*Assumptions!$B$4,"NA")</f>
        <v/>
      </c>
      <c r="Y270" s="9">
        <f>IF(ISNUMBER($V270),$V270*$J270*Assumptions!$B$4,"NA")</f>
        <v/>
      </c>
    </row>
    <row r="271">
      <c r="A271" s="5" t="inlineStr">
        <is>
          <t>Katsushiro</t>
        </is>
      </c>
      <c r="B271" s="5" t="inlineStr">
        <is>
          <t>Brackets and fittings</t>
        </is>
      </c>
      <c r="C271" s="5" t="inlineStr">
        <is>
          <t>AST Trading Inc</t>
        </is>
      </c>
      <c r="D271" s="5" t="inlineStr">
        <is>
          <t>Trader/Distributor</t>
        </is>
      </c>
      <c r="E271" s="5" t="inlineStr">
        <is>
          <t>United States</t>
        </is>
      </c>
      <c r="F271" s="5" t="n">
        <v>2024</v>
      </c>
      <c r="G271" s="5" t="n">
        <v>40</v>
      </c>
      <c r="H271" s="7" t="n">
        <v>17.22</v>
      </c>
      <c r="I271" s="5" t="inlineStr">
        <is>
          <t>USD</t>
        </is>
      </c>
      <c r="J271" s="8">
        <f>IF($I271="AUD",Assumptions!$B$2,Assumptions!$B$3)</f>
        <v/>
      </c>
      <c r="K271" s="9">
        <f>$G271*$H271*$J271</f>
        <v/>
      </c>
      <c r="L271" s="9">
        <f>$K271*Assumptions!$B$4</f>
        <v/>
      </c>
      <c r="M271" s="9">
        <f>RawTx[[#This Row],[Value USD]]/RawTx[[#This Row],[Quantity]]</f>
        <v/>
      </c>
      <c r="N271" s="9">
        <f>RawTx[[#This Row],[Value IDR]]/RawTx[[#This Row],[Quantity]]</f>
        <v/>
      </c>
      <c r="O271" s="4" t="inlineStr">
        <is>
          <t>BODY PIVOT BRACKET HD605</t>
        </is>
      </c>
      <c r="P271" s="5" t="inlineStr">
        <is>
          <t>Komatsu</t>
        </is>
      </c>
      <c r="Q271" s="13" t="inlineStr">
        <is>
          <t>HD605</t>
        </is>
      </c>
      <c r="R271" s="7" t="n">
        <v>7466</v>
      </c>
      <c r="S271" s="7">
        <f>IFERROR($R271/$G271,"")</f>
        <v/>
      </c>
      <c r="T271" s="7" t="inlineStr">
        <is>
          <t>NA</t>
        </is>
      </c>
      <c r="U271" s="7" t="inlineStr">
        <is>
          <t>NA</t>
        </is>
      </c>
      <c r="V271" s="7" t="inlineStr">
        <is>
          <t>NA</t>
        </is>
      </c>
      <c r="W271" s="9">
        <f>IF(ISNUMBER($T271),$T271*$J271*Assumptions!$B$4,"NA")</f>
        <v/>
      </c>
      <c r="X271" s="9">
        <f>IF(ISNUMBER($U271),$U271*$J271*Assumptions!$B$4,"NA")</f>
        <v/>
      </c>
      <c r="Y271" s="9">
        <f>IF(ISNUMBER($V271),$V271*$J271*Assumptions!$B$4,"NA")</f>
        <v/>
      </c>
    </row>
    <row r="272">
      <c r="A272" s="5" t="inlineStr">
        <is>
          <t>Katsushiro</t>
        </is>
      </c>
      <c r="B272" s="5" t="inlineStr">
        <is>
          <t>Brackets and fittings</t>
        </is>
      </c>
      <c r="C272" s="5" t="inlineStr">
        <is>
          <t>AST Trading Inc</t>
        </is>
      </c>
      <c r="D272" s="5" t="inlineStr">
        <is>
          <t>Trader/Distributor</t>
        </is>
      </c>
      <c r="E272" s="5" t="inlineStr">
        <is>
          <t>United States</t>
        </is>
      </c>
      <c r="F272" s="5" t="n">
        <v>2024</v>
      </c>
      <c r="G272" s="5" t="n">
        <v>72</v>
      </c>
      <c r="H272" s="7" t="n">
        <v>607.7</v>
      </c>
      <c r="I272" s="5" t="inlineStr">
        <is>
          <t>USD</t>
        </is>
      </c>
      <c r="J272" s="8">
        <f>IF($I272="AUD",Assumptions!$B$2,Assumptions!$B$3)</f>
        <v/>
      </c>
      <c r="K272" s="9">
        <f>$G272*$H272*$J272</f>
        <v/>
      </c>
      <c r="L272" s="9">
        <f>$K272*Assumptions!$B$4</f>
        <v/>
      </c>
      <c r="M272" s="9">
        <f>RawTx[[#This Row],[Value USD]]/RawTx[[#This Row],[Quantity]]</f>
        <v/>
      </c>
      <c r="N272" s="9">
        <f>RawTx[[#This Row],[Value IDR]]/RawTx[[#This Row],[Quantity]]</f>
        <v/>
      </c>
      <c r="O272" s="4" t="inlineStr">
        <is>
          <t>HM400 BRACKET LH/RH BODY PROTECTOR</t>
        </is>
      </c>
      <c r="P272" s="5" t="inlineStr">
        <is>
          <t>Komatsu</t>
        </is>
      </c>
      <c r="Q272" s="13" t="inlineStr">
        <is>
          <t>HM400</t>
        </is>
      </c>
      <c r="R272" s="7" t="n">
        <v>11172</v>
      </c>
      <c r="S272" s="7">
        <f>IFERROR($R272/$G272,"")</f>
        <v/>
      </c>
      <c r="T272" s="7" t="inlineStr">
        <is>
          <t>NA</t>
        </is>
      </c>
      <c r="U272" s="7" t="inlineStr">
        <is>
          <t>NA</t>
        </is>
      </c>
      <c r="V272" s="7" t="inlineStr">
        <is>
          <t>NA</t>
        </is>
      </c>
      <c r="W272" s="9">
        <f>IF(ISNUMBER($T272),$T272*$J272*Assumptions!$B$4,"NA")</f>
        <v/>
      </c>
      <c r="X272" s="9">
        <f>IF(ISNUMBER($U272),$U272*$J272*Assumptions!$B$4,"NA")</f>
        <v/>
      </c>
      <c r="Y272" s="9">
        <f>IF(ISNUMBER($V272),$V272*$J272*Assumptions!$B$4,"NA")</f>
        <v/>
      </c>
    </row>
    <row r="273">
      <c r="A273" s="5" t="inlineStr">
        <is>
          <t>Katsushiro</t>
        </is>
      </c>
      <c r="B273" s="5" t="inlineStr">
        <is>
          <t>Brackets and fittings</t>
        </is>
      </c>
      <c r="C273" s="5" t="inlineStr">
        <is>
          <t>AST Trading Inc</t>
        </is>
      </c>
      <c r="D273" s="5" t="inlineStr">
        <is>
          <t>Trader/Distributor</t>
        </is>
      </c>
      <c r="E273" s="5" t="inlineStr">
        <is>
          <t>United States</t>
        </is>
      </c>
      <c r="F273" s="5" t="n">
        <v>2024</v>
      </c>
      <c r="G273" s="5" t="n">
        <v>72</v>
      </c>
      <c r="H273" s="7" t="n">
        <v>8.44</v>
      </c>
      <c r="I273" s="5" t="inlineStr">
        <is>
          <t>USD</t>
        </is>
      </c>
      <c r="J273" s="8">
        <f>IF($I273="AUD",Assumptions!$B$2,Assumptions!$B$3)</f>
        <v/>
      </c>
      <c r="K273" s="9">
        <f>$G273*$H273*$J273</f>
        <v/>
      </c>
      <c r="L273" s="9">
        <f>$K273*Assumptions!$B$4</f>
        <v/>
      </c>
      <c r="M273" s="9">
        <f>RawTx[[#This Row],[Value USD]]/RawTx[[#This Row],[Quantity]]</f>
        <v/>
      </c>
      <c r="N273" s="9">
        <f>RawTx[[#This Row],[Value IDR]]/RawTx[[#This Row],[Quantity]]</f>
        <v/>
      </c>
      <c r="O273" s="4" t="inlineStr">
        <is>
          <t>HM400 BRACKET LH/RH BODY PROTECTOR</t>
        </is>
      </c>
      <c r="P273" s="5" t="inlineStr">
        <is>
          <t>Komatsu</t>
        </is>
      </c>
      <c r="Q273" s="13" t="inlineStr">
        <is>
          <t>HM400</t>
        </is>
      </c>
      <c r="R273" s="7" t="n">
        <v>11172</v>
      </c>
      <c r="S273" s="7">
        <f>IFERROR($R273/$G273,"")</f>
        <v/>
      </c>
      <c r="T273" s="7" t="inlineStr">
        <is>
          <t>NA</t>
        </is>
      </c>
      <c r="U273" s="7" t="inlineStr">
        <is>
          <t>NA</t>
        </is>
      </c>
      <c r="V273" s="7" t="inlineStr">
        <is>
          <t>NA</t>
        </is>
      </c>
      <c r="W273" s="9">
        <f>IF(ISNUMBER($T273),$T273*$J273*Assumptions!$B$4,"NA")</f>
        <v/>
      </c>
      <c r="X273" s="9">
        <f>IF(ISNUMBER($U273),$U273*$J273*Assumptions!$B$4,"NA")</f>
        <v/>
      </c>
      <c r="Y273" s="9">
        <f>IF(ISNUMBER($V273),$V273*$J273*Assumptions!$B$4,"NA")</f>
        <v/>
      </c>
    </row>
    <row r="274">
      <c r="A274" s="5" t="inlineStr">
        <is>
          <t>Katsushiro</t>
        </is>
      </c>
      <c r="B274" s="5" t="inlineStr">
        <is>
          <t>Brackets and fittings</t>
        </is>
      </c>
      <c r="C274" s="5" t="inlineStr">
        <is>
          <t>AST Trading Inc</t>
        </is>
      </c>
      <c r="D274" s="5" t="inlineStr">
        <is>
          <t>Trader/Distributor</t>
        </is>
      </c>
      <c r="E274" s="5" t="inlineStr">
        <is>
          <t>United States</t>
        </is>
      </c>
      <c r="F274" s="5" t="n">
        <v>2024</v>
      </c>
      <c r="G274" s="5" t="n">
        <v>40</v>
      </c>
      <c r="H274" s="7" t="n">
        <v>17.22</v>
      </c>
      <c r="I274" s="5" t="inlineStr">
        <is>
          <t>USD</t>
        </is>
      </c>
      <c r="J274" s="8">
        <f>IF($I274="AUD",Assumptions!$B$2,Assumptions!$B$3)</f>
        <v/>
      </c>
      <c r="K274" s="9">
        <f>$G274*$H274*$J274</f>
        <v/>
      </c>
      <c r="L274" s="9">
        <f>$K274*Assumptions!$B$4</f>
        <v/>
      </c>
      <c r="M274" s="9">
        <f>RawTx[[#This Row],[Value USD]]/RawTx[[#This Row],[Quantity]]</f>
        <v/>
      </c>
      <c r="N274" s="9">
        <f>RawTx[[#This Row],[Value IDR]]/RawTx[[#This Row],[Quantity]]</f>
        <v/>
      </c>
      <c r="O274" s="4" t="inlineStr">
        <is>
          <t>BODY PIVOT BRACKET HD605</t>
        </is>
      </c>
      <c r="P274" s="5" t="inlineStr">
        <is>
          <t>Komatsu</t>
        </is>
      </c>
      <c r="Q274" s="13" t="inlineStr">
        <is>
          <t>HD605</t>
        </is>
      </c>
      <c r="R274" s="7" t="n">
        <v>7466</v>
      </c>
      <c r="S274" s="7">
        <f>IFERROR($R274/$G274,"")</f>
        <v/>
      </c>
      <c r="T274" s="7" t="inlineStr">
        <is>
          <t>NA</t>
        </is>
      </c>
      <c r="U274" s="7" t="inlineStr">
        <is>
          <t>NA</t>
        </is>
      </c>
      <c r="V274" s="7" t="inlineStr">
        <is>
          <t>NA</t>
        </is>
      </c>
      <c r="W274" s="9">
        <f>IF(ISNUMBER($T274),$T274*$J274*Assumptions!$B$4,"NA")</f>
        <v/>
      </c>
      <c r="X274" s="9">
        <f>IF(ISNUMBER($U274),$U274*$J274*Assumptions!$B$4,"NA")</f>
        <v/>
      </c>
      <c r="Y274" s="9">
        <f>IF(ISNUMBER($V274),$V274*$J274*Assumptions!$B$4,"NA")</f>
        <v/>
      </c>
    </row>
    <row r="275">
      <c r="A275" s="5" t="inlineStr">
        <is>
          <t>Katsushiro</t>
        </is>
      </c>
      <c r="B275" s="5" t="inlineStr">
        <is>
          <t>Brackets and fittings</t>
        </is>
      </c>
      <c r="C275" s="5" t="inlineStr">
        <is>
          <t>AST Trading Inc</t>
        </is>
      </c>
      <c r="D275" s="5" t="inlineStr">
        <is>
          <t>Trader/Distributor</t>
        </is>
      </c>
      <c r="E275" s="5" t="inlineStr">
        <is>
          <t>United States</t>
        </is>
      </c>
      <c r="F275" s="5" t="n">
        <v>2024</v>
      </c>
      <c r="G275" s="5" t="n">
        <v>40</v>
      </c>
      <c r="H275" s="7" t="n">
        <v>688.77</v>
      </c>
      <c r="I275" s="5" t="inlineStr">
        <is>
          <t>USD</t>
        </is>
      </c>
      <c r="J275" s="8">
        <f>IF($I275="AUD",Assumptions!$B$2,Assumptions!$B$3)</f>
        <v/>
      </c>
      <c r="K275" s="9">
        <f>$G275*$H275*$J275</f>
        <v/>
      </c>
      <c r="L275" s="9">
        <f>$K275*Assumptions!$B$4</f>
        <v/>
      </c>
      <c r="M275" s="9">
        <f>RawTx[[#This Row],[Value USD]]/RawTx[[#This Row],[Quantity]]</f>
        <v/>
      </c>
      <c r="N275" s="9">
        <f>RawTx[[#This Row],[Value IDR]]/RawTx[[#This Row],[Quantity]]</f>
        <v/>
      </c>
      <c r="O275" s="4" t="inlineStr">
        <is>
          <t>BODY PIVOT BRACKET HD605</t>
        </is>
      </c>
      <c r="P275" s="5" t="inlineStr">
        <is>
          <t>Komatsu</t>
        </is>
      </c>
      <c r="Q275" s="13" t="inlineStr">
        <is>
          <t>HD605</t>
        </is>
      </c>
      <c r="R275" s="7" t="n">
        <v>7466</v>
      </c>
      <c r="S275" s="7">
        <f>IFERROR($R275/$G275,"")</f>
        <v/>
      </c>
      <c r="T275" s="7" t="inlineStr">
        <is>
          <t>NA</t>
        </is>
      </c>
      <c r="U275" s="7" t="inlineStr">
        <is>
          <t>NA</t>
        </is>
      </c>
      <c r="V275" s="7" t="inlineStr">
        <is>
          <t>NA</t>
        </is>
      </c>
      <c r="W275" s="9">
        <f>IF(ISNUMBER($T275),$T275*$J275*Assumptions!$B$4,"NA")</f>
        <v/>
      </c>
      <c r="X275" s="9">
        <f>IF(ISNUMBER($U275),$U275*$J275*Assumptions!$B$4,"NA")</f>
        <v/>
      </c>
      <c r="Y275" s="9">
        <f>IF(ISNUMBER($V275),$V275*$J275*Assumptions!$B$4,"NA")</f>
        <v/>
      </c>
    </row>
    <row r="276">
      <c r="A276" s="5" t="inlineStr">
        <is>
          <t>Katsushiro</t>
        </is>
      </c>
      <c r="B276" s="5" t="inlineStr">
        <is>
          <t>Brackets and fittings</t>
        </is>
      </c>
      <c r="C276" s="5" t="inlineStr">
        <is>
          <t>AST Trading Inc</t>
        </is>
      </c>
      <c r="D276" s="5" t="inlineStr">
        <is>
          <t>Trader/Distributor</t>
        </is>
      </c>
      <c r="E276" s="5" t="inlineStr">
        <is>
          <t>United States</t>
        </is>
      </c>
      <c r="F276" s="5" t="n">
        <v>2024</v>
      </c>
      <c r="G276" s="5" t="n">
        <v>40</v>
      </c>
      <c r="H276" s="7" t="n">
        <v>660.54</v>
      </c>
      <c r="I276" s="5" t="inlineStr">
        <is>
          <t>USD</t>
        </is>
      </c>
      <c r="J276" s="8">
        <f>IF($I276="AUD",Assumptions!$B$2,Assumptions!$B$3)</f>
        <v/>
      </c>
      <c r="K276" s="9">
        <f>$G276*$H276*$J276</f>
        <v/>
      </c>
      <c r="L276" s="9">
        <f>$K276*Assumptions!$B$4</f>
        <v/>
      </c>
      <c r="M276" s="9">
        <f>RawTx[[#This Row],[Value USD]]/RawTx[[#This Row],[Quantity]]</f>
        <v/>
      </c>
      <c r="N276" s="9">
        <f>RawTx[[#This Row],[Value IDR]]/RawTx[[#This Row],[Quantity]]</f>
        <v/>
      </c>
      <c r="O276" s="4" t="inlineStr">
        <is>
          <t>BODY PIVOT BRACKET HD605</t>
        </is>
      </c>
      <c r="P276" s="5" t="inlineStr">
        <is>
          <t>Komatsu</t>
        </is>
      </c>
      <c r="Q276" s="13" t="inlineStr">
        <is>
          <t>HD605</t>
        </is>
      </c>
      <c r="R276" s="7" t="n">
        <v>7466</v>
      </c>
      <c r="S276" s="7">
        <f>IFERROR($R276/$G276,"")</f>
        <v/>
      </c>
      <c r="T276" s="7" t="inlineStr">
        <is>
          <t>NA</t>
        </is>
      </c>
      <c r="U276" s="7" t="inlineStr">
        <is>
          <t>NA</t>
        </is>
      </c>
      <c r="V276" s="7" t="inlineStr">
        <is>
          <t>NA</t>
        </is>
      </c>
      <c r="W276" s="9">
        <f>IF(ISNUMBER($T276),$T276*$J276*Assumptions!$B$4,"NA")</f>
        <v/>
      </c>
      <c r="X276" s="9">
        <f>IF(ISNUMBER($U276),$U276*$J276*Assumptions!$B$4,"NA")</f>
        <v/>
      </c>
      <c r="Y276" s="9">
        <f>IF(ISNUMBER($V276),$V276*$J276*Assumptions!$B$4,"NA")</f>
        <v/>
      </c>
    </row>
    <row r="277">
      <c r="A277" s="5" t="inlineStr">
        <is>
          <t>Katsushiro</t>
        </is>
      </c>
      <c r="B277" s="5" t="inlineStr">
        <is>
          <t>Body panels</t>
        </is>
      </c>
      <c r="C277" s="5" t="inlineStr">
        <is>
          <t>AST Trading Inc</t>
        </is>
      </c>
      <c r="D277" s="5" t="inlineStr">
        <is>
          <t>Trader/Distributor</t>
        </is>
      </c>
      <c r="E277" s="5" t="inlineStr">
        <is>
          <t>United States</t>
        </is>
      </c>
      <c r="F277" s="5" t="n">
        <v>2025</v>
      </c>
      <c r="G277" s="5" t="n">
        <v>18</v>
      </c>
      <c r="H277" s="7" t="n">
        <v>5492.57</v>
      </c>
      <c r="I277" s="5" t="inlineStr">
        <is>
          <t>USD</t>
        </is>
      </c>
      <c r="J277" s="8">
        <f>IF($I277="AUD",Assumptions!$B$2,Assumptions!$B$3)</f>
        <v/>
      </c>
      <c r="K277" s="9">
        <f>$G277*$H277*$J277</f>
        <v/>
      </c>
      <c r="L277" s="9">
        <f>$K277*Assumptions!$B$4</f>
        <v/>
      </c>
      <c r="M277" s="9">
        <f>RawTx[[#This Row],[Value USD]]/RawTx[[#This Row],[Quantity]]</f>
        <v/>
      </c>
      <c r="N277" s="9">
        <f>RawTx[[#This Row],[Value IDR]]/RawTx[[#This Row],[Quantity]]</f>
        <v/>
      </c>
      <c r="O277" s="4" t="inlineStr">
        <is>
          <t>SIDE BODY HD605, FRONT HD785</t>
        </is>
      </c>
      <c r="P277" s="5" t="inlineStr">
        <is>
          <t>Komatsu</t>
        </is>
      </c>
      <c r="Q277" s="14" t="inlineStr">
        <is>
          <t>HD785</t>
        </is>
      </c>
      <c r="R277" s="7" t="n">
        <v>31384.98</v>
      </c>
      <c r="S277" s="7">
        <f>IFERROR($R277/$G277,"")</f>
        <v/>
      </c>
      <c r="T277" s="7" t="inlineStr">
        <is>
          <t>NA</t>
        </is>
      </c>
      <c r="U277" s="7" t="inlineStr">
        <is>
          <t>NA</t>
        </is>
      </c>
      <c r="V277" s="7" t="inlineStr">
        <is>
          <t>NA</t>
        </is>
      </c>
      <c r="W277" s="9">
        <f>IF(ISNUMBER($T277),$T277*$J277*Assumptions!$B$4,"NA")</f>
        <v/>
      </c>
      <c r="X277" s="9">
        <f>IF(ISNUMBER($U277),$U277*$J277*Assumptions!$B$4,"NA")</f>
        <v/>
      </c>
      <c r="Y277" s="9">
        <f>IF(ISNUMBER($V277),$V277*$J277*Assumptions!$B$4,"NA")</f>
        <v/>
      </c>
    </row>
    <row r="278">
      <c r="A278" s="5" t="inlineStr">
        <is>
          <t>Katsushiro</t>
        </is>
      </c>
      <c r="B278" s="5" t="inlineStr">
        <is>
          <t>Body panels</t>
        </is>
      </c>
      <c r="C278" s="5" t="inlineStr">
        <is>
          <t>AST Trading Inc</t>
        </is>
      </c>
      <c r="D278" s="5" t="inlineStr">
        <is>
          <t>Trader/Distributor</t>
        </is>
      </c>
      <c r="E278" s="5" t="inlineStr">
        <is>
          <t>United States</t>
        </is>
      </c>
      <c r="F278" s="5" t="n">
        <v>2025</v>
      </c>
      <c r="G278" s="5" t="n">
        <v>18</v>
      </c>
      <c r="H278" s="7" t="n">
        <v>5161.04</v>
      </c>
      <c r="I278" s="5" t="inlineStr">
        <is>
          <t>USD</t>
        </is>
      </c>
      <c r="J278" s="8">
        <f>IF($I278="AUD",Assumptions!$B$2,Assumptions!$B$3)</f>
        <v/>
      </c>
      <c r="K278" s="9">
        <f>$G278*$H278*$J278</f>
        <v/>
      </c>
      <c r="L278" s="9">
        <f>$K278*Assumptions!$B$4</f>
        <v/>
      </c>
      <c r="M278" s="9">
        <f>RawTx[[#This Row],[Value USD]]/RawTx[[#This Row],[Quantity]]</f>
        <v/>
      </c>
      <c r="N278" s="9">
        <f>RawTx[[#This Row],[Value IDR]]/RawTx[[#This Row],[Quantity]]</f>
        <v/>
      </c>
      <c r="O278" s="4" t="inlineStr">
        <is>
          <t>VESSEL HD605 FRONT &amp; SIDE HD785</t>
        </is>
      </c>
      <c r="P278" s="5" t="inlineStr">
        <is>
          <t>Komatsu</t>
        </is>
      </c>
      <c r="Q278" s="14" t="inlineStr">
        <is>
          <t>HD785</t>
        </is>
      </c>
      <c r="R278" s="7" t="n">
        <v>30989.99</v>
      </c>
      <c r="S278" s="7">
        <f>IFERROR($R278/$G278,"")</f>
        <v/>
      </c>
      <c r="T278" s="7" t="inlineStr">
        <is>
          <t>NA</t>
        </is>
      </c>
      <c r="U278" s="7" t="inlineStr">
        <is>
          <t>NA</t>
        </is>
      </c>
      <c r="V278" s="7" t="inlineStr">
        <is>
          <t>NA</t>
        </is>
      </c>
      <c r="W278" s="9">
        <f>IF(ISNUMBER($T278),$T278*$J278*Assumptions!$B$4,"NA")</f>
        <v/>
      </c>
      <c r="X278" s="9">
        <f>IF(ISNUMBER($U278),$U278*$J278*Assumptions!$B$4,"NA")</f>
        <v/>
      </c>
      <c r="Y278" s="9">
        <f>IF(ISNUMBER($V278),$V278*$J278*Assumptions!$B$4,"NA")</f>
        <v/>
      </c>
    </row>
    <row r="279">
      <c r="A279" s="5" t="inlineStr">
        <is>
          <t>Katsushiro</t>
        </is>
      </c>
      <c r="B279" s="5" t="inlineStr">
        <is>
          <t>Body panels</t>
        </is>
      </c>
      <c r="C279" s="5" t="inlineStr">
        <is>
          <t>AST Trading Inc</t>
        </is>
      </c>
      <c r="D279" s="5" t="inlineStr">
        <is>
          <t>Trader/Distributor</t>
        </is>
      </c>
      <c r="E279" s="5" t="inlineStr">
        <is>
          <t>United States</t>
        </is>
      </c>
      <c r="F279" s="5" t="n">
        <v>2025</v>
      </c>
      <c r="G279" s="5" t="n">
        <v>2</v>
      </c>
      <c r="H279" s="7" t="n">
        <v>50767.77</v>
      </c>
      <c r="I279" s="5" t="inlineStr">
        <is>
          <t>USD</t>
        </is>
      </c>
      <c r="J279" s="8">
        <f>IF($I279="AUD",Assumptions!$B$2,Assumptions!$B$3)</f>
        <v/>
      </c>
      <c r="K279" s="9">
        <f>$G279*$H279*$J279</f>
        <v/>
      </c>
      <c r="L279" s="9">
        <f>$K279*Assumptions!$B$4</f>
        <v/>
      </c>
      <c r="M279" s="9">
        <f>RawTx[[#This Row],[Value USD]]/RawTx[[#This Row],[Quantity]]</f>
        <v/>
      </c>
      <c r="N279" s="9">
        <f>RawTx[[#This Row],[Value IDR]]/RawTx[[#This Row],[Quantity]]</f>
        <v/>
      </c>
      <c r="O279" s="4" t="inlineStr">
        <is>
          <t>HM400-3R BODY SUB A</t>
        </is>
      </c>
      <c r="P279" s="5" t="inlineStr">
        <is>
          <t>Komatsu</t>
        </is>
      </c>
      <c r="Q279" s="13" t="inlineStr">
        <is>
          <t>HM400-3R</t>
        </is>
      </c>
      <c r="R279" s="7" t="n">
        <v>9620.700000000001</v>
      </c>
      <c r="S279" s="7">
        <f>IFERROR($R279/$G279,"")</f>
        <v/>
      </c>
      <c r="T279" s="7" t="inlineStr">
        <is>
          <t>NA</t>
        </is>
      </c>
      <c r="U279" s="7" t="inlineStr">
        <is>
          <t>NA</t>
        </is>
      </c>
      <c r="V279" s="7" t="inlineStr">
        <is>
          <t>NA</t>
        </is>
      </c>
      <c r="W279" s="9">
        <f>IF(ISNUMBER($T279),$T279*$J279*Assumptions!$B$4,"NA")</f>
        <v/>
      </c>
      <c r="X279" s="9">
        <f>IF(ISNUMBER($U279),$U279*$J279*Assumptions!$B$4,"NA")</f>
        <v/>
      </c>
      <c r="Y279" s="9">
        <f>IF(ISNUMBER($V279),$V279*$J279*Assumptions!$B$4,"NA")</f>
        <v/>
      </c>
    </row>
    <row r="280">
      <c r="A280" s="5" t="inlineStr">
        <is>
          <t>Katsushiro</t>
        </is>
      </c>
      <c r="B280" s="5" t="inlineStr">
        <is>
          <t>Body panels</t>
        </is>
      </c>
      <c r="C280" s="5" t="inlineStr">
        <is>
          <t>AST Trading Inc</t>
        </is>
      </c>
      <c r="D280" s="5" t="inlineStr">
        <is>
          <t>Trader/Distributor</t>
        </is>
      </c>
      <c r="E280" s="5" t="inlineStr">
        <is>
          <t>United States</t>
        </is>
      </c>
      <c r="F280" s="5" t="n">
        <v>2025</v>
      </c>
      <c r="G280" s="5" t="n">
        <v>44</v>
      </c>
      <c r="H280" s="7" t="n">
        <v>2571.28</v>
      </c>
      <c r="I280" s="5" t="inlineStr">
        <is>
          <t>USD</t>
        </is>
      </c>
      <c r="J280" s="8">
        <f>IF($I280="AUD",Assumptions!$B$2,Assumptions!$B$3)</f>
        <v/>
      </c>
      <c r="K280" s="9">
        <f>$G280*$H280*$J280</f>
        <v/>
      </c>
      <c r="L280" s="9">
        <f>$K280*Assumptions!$B$4</f>
        <v/>
      </c>
      <c r="M280" s="9">
        <f>RawTx[[#This Row],[Value USD]]/RawTx[[#This Row],[Quantity]]</f>
        <v/>
      </c>
      <c r="N280" s="9">
        <f>RawTx[[#This Row],[Value IDR]]/RawTx[[#This Row],[Quantity]]</f>
        <v/>
      </c>
      <c r="O280" s="4" t="inlineStr">
        <is>
          <t>SIDE BODY &amp; FRONT HD605, BRACKET LH/RH</t>
        </is>
      </c>
      <c r="P280" s="5" t="inlineStr">
        <is>
          <t>Komatsu</t>
        </is>
      </c>
      <c r="Q280" s="13" t="inlineStr">
        <is>
          <t>HD605</t>
        </is>
      </c>
      <c r="R280" s="7" t="n">
        <v>35121.42</v>
      </c>
      <c r="S280" s="7">
        <f>IFERROR($R280/$G280,"")</f>
        <v/>
      </c>
      <c r="T280" s="7" t="inlineStr">
        <is>
          <t>NA</t>
        </is>
      </c>
      <c r="U280" s="7" t="inlineStr">
        <is>
          <t>NA</t>
        </is>
      </c>
      <c r="V280" s="7" t="inlineStr">
        <is>
          <t>NA</t>
        </is>
      </c>
      <c r="W280" s="9">
        <f>IF(ISNUMBER($T280),$T280*$J280*Assumptions!$B$4,"NA")</f>
        <v/>
      </c>
      <c r="X280" s="9">
        <f>IF(ISNUMBER($U280),$U280*$J280*Assumptions!$B$4,"NA")</f>
        <v/>
      </c>
      <c r="Y280" s="9">
        <f>IF(ISNUMBER($V280),$V280*$J280*Assumptions!$B$4,"NA")</f>
        <v/>
      </c>
    </row>
    <row r="281">
      <c r="A281" s="5" t="inlineStr">
        <is>
          <t>Katsushiro</t>
        </is>
      </c>
      <c r="B281" s="5" t="inlineStr">
        <is>
          <t>Brackets and fittings</t>
        </is>
      </c>
      <c r="C281" s="5" t="inlineStr">
        <is>
          <t>AST Trading Inc</t>
        </is>
      </c>
      <c r="D281" s="5" t="inlineStr">
        <is>
          <t>Trader/Distributor</t>
        </is>
      </c>
      <c r="E281" s="5" t="inlineStr">
        <is>
          <t>United States</t>
        </is>
      </c>
      <c r="F281" s="5" t="n">
        <v>2025</v>
      </c>
      <c r="G281" s="5" t="n">
        <v>72</v>
      </c>
      <c r="H281" s="7" t="n">
        <v>593.5</v>
      </c>
      <c r="I281" s="5" t="inlineStr">
        <is>
          <t>USD</t>
        </is>
      </c>
      <c r="J281" s="8">
        <f>IF($I281="AUD",Assumptions!$B$2,Assumptions!$B$3)</f>
        <v/>
      </c>
      <c r="K281" s="9">
        <f>$G281*$H281*$J281</f>
        <v/>
      </c>
      <c r="L281" s="9">
        <f>$K281*Assumptions!$B$4</f>
        <v/>
      </c>
      <c r="M281" s="9">
        <f>RawTx[[#This Row],[Value USD]]/RawTx[[#This Row],[Quantity]]</f>
        <v/>
      </c>
      <c r="N281" s="9">
        <f>RawTx[[#This Row],[Value IDR]]/RawTx[[#This Row],[Quantity]]</f>
        <v/>
      </c>
      <c r="O281" s="4" t="inlineStr">
        <is>
          <t>HM400 BRACKET LH/RH BODY PROTECTOR</t>
        </is>
      </c>
      <c r="P281" s="5" t="inlineStr">
        <is>
          <t>Komatsu</t>
        </is>
      </c>
      <c r="Q281" s="13" t="inlineStr">
        <is>
          <t>HM400</t>
        </is>
      </c>
      <c r="R281" s="7" t="n">
        <v>11172</v>
      </c>
      <c r="S281" s="7">
        <f>IFERROR($R281/$G281,"")</f>
        <v/>
      </c>
      <c r="T281" s="7" t="inlineStr">
        <is>
          <t>NA</t>
        </is>
      </c>
      <c r="U281" s="7" t="inlineStr">
        <is>
          <t>NA</t>
        </is>
      </c>
      <c r="V281" s="7" t="inlineStr">
        <is>
          <t>NA</t>
        </is>
      </c>
      <c r="W281" s="9">
        <f>IF(ISNUMBER($T281),$T281*$J281*Assumptions!$B$4,"NA")</f>
        <v/>
      </c>
      <c r="X281" s="9">
        <f>IF(ISNUMBER($U281),$U281*$J281*Assumptions!$B$4,"NA")</f>
        <v/>
      </c>
      <c r="Y281" s="9">
        <f>IF(ISNUMBER($V281),$V281*$J281*Assumptions!$B$4,"NA")</f>
        <v/>
      </c>
    </row>
    <row r="282">
      <c r="A282" s="5" t="inlineStr">
        <is>
          <t>Katsushiro</t>
        </is>
      </c>
      <c r="B282" s="5" t="inlineStr">
        <is>
          <t>Brackets and fittings</t>
        </is>
      </c>
      <c r="C282" s="5" t="inlineStr">
        <is>
          <t>AST Trading Inc</t>
        </is>
      </c>
      <c r="D282" s="5" t="inlineStr">
        <is>
          <t>Trader/Distributor</t>
        </is>
      </c>
      <c r="E282" s="5" t="inlineStr">
        <is>
          <t>United States</t>
        </is>
      </c>
      <c r="F282" s="5" t="n">
        <v>2025</v>
      </c>
      <c r="G282" s="5" t="n">
        <v>72</v>
      </c>
      <c r="H282" s="7" t="n">
        <v>593.5</v>
      </c>
      <c r="I282" s="5" t="inlineStr">
        <is>
          <t>USD</t>
        </is>
      </c>
      <c r="J282" s="8">
        <f>IF($I282="AUD",Assumptions!$B$2,Assumptions!$B$3)</f>
        <v/>
      </c>
      <c r="K282" s="9">
        <f>$G282*$H282*$J282</f>
        <v/>
      </c>
      <c r="L282" s="9">
        <f>$K282*Assumptions!$B$4</f>
        <v/>
      </c>
      <c r="M282" s="9">
        <f>RawTx[[#This Row],[Value USD]]/RawTx[[#This Row],[Quantity]]</f>
        <v/>
      </c>
      <c r="N282" s="9">
        <f>RawTx[[#This Row],[Value IDR]]/RawTx[[#This Row],[Quantity]]</f>
        <v/>
      </c>
      <c r="O282" s="4" t="inlineStr">
        <is>
          <t>HM400 BRACKET LH/RH BODY PROTECTOR</t>
        </is>
      </c>
      <c r="P282" s="5" t="inlineStr">
        <is>
          <t>Komatsu</t>
        </is>
      </c>
      <c r="Q282" s="13" t="inlineStr">
        <is>
          <t>HM400</t>
        </is>
      </c>
      <c r="R282" s="7" t="n">
        <v>11172</v>
      </c>
      <c r="S282" s="7">
        <f>IFERROR($R282/$G282,"")</f>
        <v/>
      </c>
      <c r="T282" s="7" t="inlineStr">
        <is>
          <t>NA</t>
        </is>
      </c>
      <c r="U282" s="7" t="inlineStr">
        <is>
          <t>NA</t>
        </is>
      </c>
      <c r="V282" s="7" t="inlineStr">
        <is>
          <t>NA</t>
        </is>
      </c>
      <c r="W282" s="9">
        <f>IF(ISNUMBER($T282),$T282*$J282*Assumptions!$B$4,"NA")</f>
        <v/>
      </c>
      <c r="X282" s="9">
        <f>IF(ISNUMBER($U282),$U282*$J282*Assumptions!$B$4,"NA")</f>
        <v/>
      </c>
      <c r="Y282" s="9">
        <f>IF(ISNUMBER($V282),$V282*$J282*Assumptions!$B$4,"NA")</f>
        <v/>
      </c>
    </row>
    <row r="283">
      <c r="A283" s="5" t="inlineStr">
        <is>
          <t>Katsushiro</t>
        </is>
      </c>
      <c r="B283" s="5" t="inlineStr">
        <is>
          <t>Brackets and fittings</t>
        </is>
      </c>
      <c r="C283" s="5" t="inlineStr">
        <is>
          <t>AST Trading Inc</t>
        </is>
      </c>
      <c r="D283" s="5" t="inlineStr">
        <is>
          <t>Trader/Distributor</t>
        </is>
      </c>
      <c r="E283" s="5" t="inlineStr">
        <is>
          <t>United States</t>
        </is>
      </c>
      <c r="F283" s="5" t="n">
        <v>2025</v>
      </c>
      <c r="G283" s="5" t="n">
        <v>288</v>
      </c>
      <c r="H283" s="7" t="n">
        <v>154.95</v>
      </c>
      <c r="I283" s="5" t="inlineStr">
        <is>
          <t>USD</t>
        </is>
      </c>
      <c r="J283" s="8">
        <f>IF($I283="AUD",Assumptions!$B$2,Assumptions!$B$3)</f>
        <v/>
      </c>
      <c r="K283" s="9">
        <f>$G283*$H283*$J283</f>
        <v/>
      </c>
      <c r="L283" s="9">
        <f>$K283*Assumptions!$B$4</f>
        <v/>
      </c>
      <c r="M283" s="9">
        <f>RawTx[[#This Row],[Value USD]]/RawTx[[#This Row],[Quantity]]</f>
        <v/>
      </c>
      <c r="N283" s="9">
        <f>RawTx[[#This Row],[Value IDR]]/RawTx[[#This Row],[Quantity]]</f>
        <v/>
      </c>
      <c r="O283" s="4" t="inlineStr">
        <is>
          <t>SUB HM400</t>
        </is>
      </c>
      <c r="P283" s="5" t="inlineStr">
        <is>
          <t>Komatsu</t>
        </is>
      </c>
      <c r="Q283" s="13" t="inlineStr">
        <is>
          <t>HM400</t>
        </is>
      </c>
      <c r="R283" s="7" t="n">
        <v>18814.6</v>
      </c>
      <c r="S283" s="7">
        <f>IFERROR($R283/$G283,"")</f>
        <v/>
      </c>
      <c r="T283" s="7" t="inlineStr">
        <is>
          <t>NA</t>
        </is>
      </c>
      <c r="U283" s="7" t="inlineStr">
        <is>
          <t>NA</t>
        </is>
      </c>
      <c r="V283" s="7" t="inlineStr">
        <is>
          <t>NA</t>
        </is>
      </c>
      <c r="W283" s="9">
        <f>IF(ISNUMBER($T283),$T283*$J283*Assumptions!$B$4,"NA")</f>
        <v/>
      </c>
      <c r="X283" s="9">
        <f>IF(ISNUMBER($U283),$U283*$J283*Assumptions!$B$4,"NA")</f>
        <v/>
      </c>
      <c r="Y283" s="9">
        <f>IF(ISNUMBER($V283),$V283*$J283*Assumptions!$B$4,"NA")</f>
        <v/>
      </c>
    </row>
    <row r="284">
      <c r="A284" s="5" t="inlineStr">
        <is>
          <t>Katsushiro</t>
        </is>
      </c>
      <c r="B284" s="5" t="inlineStr">
        <is>
          <t>Brackets and fittings</t>
        </is>
      </c>
      <c r="C284" s="5" t="inlineStr">
        <is>
          <t>AST Trading Inc</t>
        </is>
      </c>
      <c r="D284" s="5" t="inlineStr">
        <is>
          <t>Trader/Distributor</t>
        </is>
      </c>
      <c r="E284" s="5" t="inlineStr">
        <is>
          <t>United States</t>
        </is>
      </c>
      <c r="F284" s="5" t="n">
        <v>2025</v>
      </c>
      <c r="G284" s="5" t="n">
        <v>288</v>
      </c>
      <c r="H284" s="7" t="n">
        <v>154.95</v>
      </c>
      <c r="I284" s="5" t="inlineStr">
        <is>
          <t>USD</t>
        </is>
      </c>
      <c r="J284" s="8">
        <f>IF($I284="AUD",Assumptions!$B$2,Assumptions!$B$3)</f>
        <v/>
      </c>
      <c r="K284" s="9">
        <f>$G284*$H284*$J284</f>
        <v/>
      </c>
      <c r="L284" s="9">
        <f>$K284*Assumptions!$B$4</f>
        <v/>
      </c>
      <c r="M284" s="9">
        <f>RawTx[[#This Row],[Value USD]]/RawTx[[#This Row],[Quantity]]</f>
        <v/>
      </c>
      <c r="N284" s="9">
        <f>RawTx[[#This Row],[Value IDR]]/RawTx[[#This Row],[Quantity]]</f>
        <v/>
      </c>
      <c r="O284" s="4" t="inlineStr">
        <is>
          <t>SUB HM400</t>
        </is>
      </c>
      <c r="P284" s="5" t="inlineStr">
        <is>
          <t>Komatsu</t>
        </is>
      </c>
      <c r="Q284" s="13" t="inlineStr">
        <is>
          <t>HM400</t>
        </is>
      </c>
      <c r="R284" s="7" t="n">
        <v>18814.6</v>
      </c>
      <c r="S284" s="7">
        <f>IFERROR($R284/$G284,"")</f>
        <v/>
      </c>
      <c r="T284" s="7" t="inlineStr">
        <is>
          <t>NA</t>
        </is>
      </c>
      <c r="U284" s="7" t="inlineStr">
        <is>
          <t>NA</t>
        </is>
      </c>
      <c r="V284" s="7" t="inlineStr">
        <is>
          <t>NA</t>
        </is>
      </c>
      <c r="W284" s="9">
        <f>IF(ISNUMBER($T284),$T284*$J284*Assumptions!$B$4,"NA")</f>
        <v/>
      </c>
      <c r="X284" s="9">
        <f>IF(ISNUMBER($U284),$U284*$J284*Assumptions!$B$4,"NA")</f>
        <v/>
      </c>
      <c r="Y284" s="9">
        <f>IF(ISNUMBER($V284),$V284*$J284*Assumptions!$B$4,"NA")</f>
        <v/>
      </c>
    </row>
    <row r="285">
      <c r="A285" s="5" t="inlineStr">
        <is>
          <t>Katsushiro</t>
        </is>
      </c>
      <c r="B285" s="5" t="inlineStr">
        <is>
          <t>Brackets and fittings</t>
        </is>
      </c>
      <c r="C285" s="5" t="inlineStr">
        <is>
          <t>AST Trading Inc</t>
        </is>
      </c>
      <c r="D285" s="5" t="inlineStr">
        <is>
          <t>Trader/Distributor</t>
        </is>
      </c>
      <c r="E285" s="5" t="inlineStr">
        <is>
          <t>United States</t>
        </is>
      </c>
      <c r="F285" s="5" t="n">
        <v>2025</v>
      </c>
      <c r="G285" s="5" t="n">
        <v>72</v>
      </c>
      <c r="H285" s="7" t="n">
        <v>589.92</v>
      </c>
      <c r="I285" s="5" t="inlineStr">
        <is>
          <t>USD</t>
        </is>
      </c>
      <c r="J285" s="8">
        <f>IF($I285="AUD",Assumptions!$B$2,Assumptions!$B$3)</f>
        <v/>
      </c>
      <c r="K285" s="9">
        <f>$G285*$H285*$J285</f>
        <v/>
      </c>
      <c r="L285" s="9">
        <f>$K285*Assumptions!$B$4</f>
        <v/>
      </c>
      <c r="M285" s="9">
        <f>RawTx[[#This Row],[Value USD]]/RawTx[[#This Row],[Quantity]]</f>
        <v/>
      </c>
      <c r="N285" s="9">
        <f>RawTx[[#This Row],[Value IDR]]/RawTx[[#This Row],[Quantity]]</f>
        <v/>
      </c>
      <c r="O285" s="4" t="inlineStr">
        <is>
          <t>HM400 BRACKET LH/RH BODY PROTECTOR</t>
        </is>
      </c>
      <c r="P285" s="5" t="inlineStr">
        <is>
          <t>Komatsu</t>
        </is>
      </c>
      <c r="Q285" s="13" t="inlineStr">
        <is>
          <t>HM400</t>
        </is>
      </c>
      <c r="R285" s="7" t="n">
        <v>11172</v>
      </c>
      <c r="S285" s="7">
        <f>IFERROR($R285/$G285,"")</f>
        <v/>
      </c>
      <c r="T285" s="7" t="inlineStr">
        <is>
          <t>NA</t>
        </is>
      </c>
      <c r="U285" s="7" t="inlineStr">
        <is>
          <t>NA</t>
        </is>
      </c>
      <c r="V285" s="7" t="inlineStr">
        <is>
          <t>NA</t>
        </is>
      </c>
      <c r="W285" s="9">
        <f>IF(ISNUMBER($T285),$T285*$J285*Assumptions!$B$4,"NA")</f>
        <v/>
      </c>
      <c r="X285" s="9">
        <f>IF(ISNUMBER($U285),$U285*$J285*Assumptions!$B$4,"NA")</f>
        <v/>
      </c>
      <c r="Y285" s="9">
        <f>IF(ISNUMBER($V285),$V285*$J285*Assumptions!$B$4,"NA")</f>
        <v/>
      </c>
    </row>
    <row r="286">
      <c r="A286" s="5" t="inlineStr">
        <is>
          <t>Katsushiro</t>
        </is>
      </c>
      <c r="B286" s="5" t="inlineStr">
        <is>
          <t>Wear parts</t>
        </is>
      </c>
      <c r="C286" s="5" t="inlineStr">
        <is>
          <t>Katsushiro Matex Co Limited</t>
        </is>
      </c>
      <c r="D286" s="11" t="inlineStr">
        <is>
          <t>Parent/Affiliate</t>
        </is>
      </c>
      <c r="E286" s="5" t="inlineStr">
        <is>
          <t>Japan</t>
        </is>
      </c>
      <c r="F286" s="5" t="n">
        <v>2025</v>
      </c>
      <c r="G286" s="5" t="n">
        <v>70</v>
      </c>
      <c r="H286" s="7" t="n">
        <v>820.71</v>
      </c>
      <c r="I286" s="5" t="inlineStr">
        <is>
          <t>USD</t>
        </is>
      </c>
      <c r="J286" s="8">
        <f>IF($I286="AUD",Assumptions!$B$2,Assumptions!$B$3)</f>
        <v/>
      </c>
      <c r="K286" s="9">
        <f>$G286*$H286*$J286</f>
        <v/>
      </c>
      <c r="L286" s="9">
        <f>$K286*Assumptions!$B$4</f>
        <v/>
      </c>
      <c r="M286" s="9">
        <f>RawTx[[#This Row],[Value USD]]/RawTx[[#This Row],[Quantity]]</f>
        <v/>
      </c>
      <c r="N286" s="9">
        <f>RawTx[[#This Row],[Value IDR]]/RawTx[[#This Row],[Quantity]]</f>
        <v/>
      </c>
      <c r="O286" s="4" t="inlineStr">
        <is>
          <t>EXTENSION AND PART LINER</t>
        </is>
      </c>
      <c r="P286" s="5" t="inlineStr">
        <is>
          <t>NA</t>
        </is>
      </c>
      <c r="Q286" s="13" t="inlineStr">
        <is>
          <t>NA</t>
        </is>
      </c>
      <c r="R286" s="7" t="n">
        <v>20825.94</v>
      </c>
      <c r="S286" s="7">
        <f>IFERROR($R286/$G286,"")</f>
        <v/>
      </c>
      <c r="T286" s="7" t="inlineStr">
        <is>
          <t>NA</t>
        </is>
      </c>
      <c r="U286" s="7" t="inlineStr">
        <is>
          <t>NA</t>
        </is>
      </c>
      <c r="V286" s="7" t="inlineStr">
        <is>
          <t>NA</t>
        </is>
      </c>
      <c r="W286" s="9">
        <f>IF(ISNUMBER($T286),$T286*$J286*Assumptions!$B$4,"NA")</f>
        <v/>
      </c>
      <c r="X286" s="9">
        <f>IF(ISNUMBER($U286),$U286*$J286*Assumptions!$B$4,"NA")</f>
        <v/>
      </c>
      <c r="Y286" s="9">
        <f>IF(ISNUMBER($V286),$V286*$J286*Assumptions!$B$4,"NA")</f>
        <v/>
      </c>
    </row>
    <row r="287">
      <c r="A287" s="5" t="inlineStr">
        <is>
          <t>Katsushiro</t>
        </is>
      </c>
      <c r="B287" s="5" t="inlineStr">
        <is>
          <t>Wear parts</t>
        </is>
      </c>
      <c r="C287" s="5" t="inlineStr">
        <is>
          <t>Katsushiro Matex India Pvt</t>
        </is>
      </c>
      <c r="D287" s="11" t="inlineStr">
        <is>
          <t>Parent/Affiliate</t>
        </is>
      </c>
      <c r="E287" s="5" t="inlineStr">
        <is>
          <t>India</t>
        </is>
      </c>
      <c r="F287" s="5" t="n">
        <v>2024</v>
      </c>
      <c r="G287" s="5" t="n">
        <v>2</v>
      </c>
      <c r="H287" s="7" t="n">
        <v>3797.59</v>
      </c>
      <c r="I287" s="5" t="inlineStr">
        <is>
          <t>USD</t>
        </is>
      </c>
      <c r="J287" s="8">
        <f>IF($I287="AUD",Assumptions!$B$2,Assumptions!$B$3)</f>
        <v/>
      </c>
      <c r="K287" s="9">
        <f>$G287*$H287*$J287</f>
        <v/>
      </c>
      <c r="L287" s="9">
        <f>$K287*Assumptions!$B$4</f>
        <v/>
      </c>
      <c r="M287" s="9">
        <f>RawTx[[#This Row],[Value USD]]/RawTx[[#This Row],[Quantity]]</f>
        <v/>
      </c>
      <c r="N287" s="9">
        <f>RawTx[[#This Row],[Value IDR]]/RawTx[[#This Row],[Quantity]]</f>
        <v/>
      </c>
      <c r="O287" s="4" t="inlineStr">
        <is>
          <t>PLATE BUTTOM HD605</t>
        </is>
      </c>
      <c r="P287" s="5" t="inlineStr">
        <is>
          <t>Komatsu</t>
        </is>
      </c>
      <c r="Q287" s="13" t="inlineStr">
        <is>
          <t>HD605</t>
        </is>
      </c>
      <c r="R287" s="7" t="n">
        <v>2188.02</v>
      </c>
      <c r="S287" s="7">
        <f>IFERROR($R287/$G287,"")</f>
        <v/>
      </c>
      <c r="T287" s="7" t="inlineStr">
        <is>
          <t>NA</t>
        </is>
      </c>
      <c r="U287" s="7" t="inlineStr">
        <is>
          <t>NA</t>
        </is>
      </c>
      <c r="V287" s="7" t="inlineStr">
        <is>
          <t>NA</t>
        </is>
      </c>
      <c r="W287" s="9">
        <f>IF(ISNUMBER($T287),$T287*$J287*Assumptions!$B$4,"NA")</f>
        <v/>
      </c>
      <c r="X287" s="9">
        <f>IF(ISNUMBER($U287),$U287*$J287*Assumptions!$B$4,"NA")</f>
        <v/>
      </c>
      <c r="Y287" s="9">
        <f>IF(ISNUMBER($V287),$V287*$J287*Assumptions!$B$4,"NA")</f>
        <v/>
      </c>
    </row>
    <row r="288">
      <c r="A288" s="5" t="inlineStr">
        <is>
          <t>Katsushiro</t>
        </is>
      </c>
      <c r="B288" s="5" t="inlineStr">
        <is>
          <t>Body panels</t>
        </is>
      </c>
      <c r="C288" s="5" t="inlineStr">
        <is>
          <t>Advanced Steel Technology</t>
        </is>
      </c>
      <c r="D288" s="11" t="inlineStr">
        <is>
          <t>Fabricator</t>
        </is>
      </c>
      <c r="E288" s="5" t="inlineStr">
        <is>
          <t>Mexico</t>
        </is>
      </c>
      <c r="F288" s="5" t="n">
        <v>2023</v>
      </c>
      <c r="G288" s="5" t="n">
        <v>12</v>
      </c>
      <c r="H288" s="7" t="n">
        <v>4604.78</v>
      </c>
      <c r="I288" s="5" t="inlineStr">
        <is>
          <t>USD</t>
        </is>
      </c>
      <c r="J288" s="8">
        <f>IF($I288="AUD",Assumptions!$B$2,Assumptions!$B$3)</f>
        <v/>
      </c>
      <c r="K288" s="9">
        <f>$G288*$H288*$J288</f>
        <v/>
      </c>
      <c r="L288" s="9">
        <f>$K288*Assumptions!$B$4</f>
        <v/>
      </c>
      <c r="M288" s="9">
        <f>RawTx[[#This Row],[Value USD]]/RawTx[[#This Row],[Quantity]]</f>
        <v/>
      </c>
      <c r="N288" s="9">
        <f>RawTx[[#This Row],[Value IDR]]/RawTx[[#This Row],[Quantity]]</f>
        <v/>
      </c>
      <c r="O288" s="4" t="inlineStr">
        <is>
          <t>VESSEL SIDE HD605</t>
        </is>
      </c>
      <c r="P288" s="5" t="inlineStr">
        <is>
          <t>Komatsu</t>
        </is>
      </c>
      <c r="Q288" s="13" t="inlineStr">
        <is>
          <t>HD605</t>
        </is>
      </c>
      <c r="R288" s="7" t="n">
        <v>17862</v>
      </c>
      <c r="S288" s="7">
        <f>IFERROR($R288/$G288,"")</f>
        <v/>
      </c>
      <c r="T288" s="7" t="inlineStr">
        <is>
          <t>NA</t>
        </is>
      </c>
      <c r="U288" s="7" t="inlineStr">
        <is>
          <t>NA</t>
        </is>
      </c>
      <c r="V288" s="7" t="inlineStr">
        <is>
          <t>NA</t>
        </is>
      </c>
      <c r="W288" s="9">
        <f>IF(ISNUMBER($T288),$T288*$J288*Assumptions!$B$4,"NA")</f>
        <v/>
      </c>
      <c r="X288" s="9">
        <f>IF(ISNUMBER($U288),$U288*$J288*Assumptions!$B$4,"NA")</f>
        <v/>
      </c>
      <c r="Y288" s="9">
        <f>IF(ISNUMBER($V288),$V288*$J288*Assumptions!$B$4,"NA")</f>
        <v/>
      </c>
    </row>
    <row r="289">
      <c r="A289" s="5" t="inlineStr">
        <is>
          <t>Katsushiro</t>
        </is>
      </c>
      <c r="B289" s="5" t="inlineStr">
        <is>
          <t>Brackets and fittings</t>
        </is>
      </c>
      <c r="C289" s="5" t="inlineStr">
        <is>
          <t>AST Trading Inc</t>
        </is>
      </c>
      <c r="D289" s="5" t="inlineStr">
        <is>
          <t>Trader/Distributor</t>
        </is>
      </c>
      <c r="E289" s="5" t="inlineStr">
        <is>
          <t>United States</t>
        </is>
      </c>
      <c r="F289" s="5" t="n">
        <v>2023</v>
      </c>
      <c r="G289" s="5" t="n">
        <v>144</v>
      </c>
      <c r="H289" s="7" t="n">
        <v>542.53</v>
      </c>
      <c r="I289" s="5" t="inlineStr">
        <is>
          <t>USD</t>
        </is>
      </c>
      <c r="J289" s="8">
        <f>IF($I289="AUD",Assumptions!$B$2,Assumptions!$B$3)</f>
        <v/>
      </c>
      <c r="K289" s="9">
        <f>$G289*$H289*$J289</f>
        <v/>
      </c>
      <c r="L289" s="9">
        <f>$K289*Assumptions!$B$4</f>
        <v/>
      </c>
      <c r="M289" s="9">
        <f>RawTx[[#This Row],[Value USD]]/RawTx[[#This Row],[Quantity]]</f>
        <v/>
      </c>
      <c r="N289" s="9">
        <f>RawTx[[#This Row],[Value IDR]]/RawTx[[#This Row],[Quantity]]</f>
        <v/>
      </c>
      <c r="O289" s="4" t="inlineStr">
        <is>
          <t>HMM400 BRACKET LH/RH BODY PROTECTOR</t>
        </is>
      </c>
      <c r="P289" s="5" t="inlineStr">
        <is>
          <t>Komatsu</t>
        </is>
      </c>
      <c r="Q289" s="14" t="inlineStr">
        <is>
          <t>HM400</t>
        </is>
      </c>
      <c r="R289" s="7" t="n">
        <v>22344</v>
      </c>
      <c r="S289" s="7">
        <f>IFERROR($R289/$G289,"")</f>
        <v/>
      </c>
      <c r="T289" s="7" t="inlineStr">
        <is>
          <t>NA</t>
        </is>
      </c>
      <c r="U289" s="7" t="inlineStr">
        <is>
          <t>NA</t>
        </is>
      </c>
      <c r="V289" s="7" t="inlineStr">
        <is>
          <t>NA</t>
        </is>
      </c>
      <c r="W289" s="9">
        <f>IF(ISNUMBER($T289),$T289*$J289*Assumptions!$B$4,"NA")</f>
        <v/>
      </c>
      <c r="X289" s="9">
        <f>IF(ISNUMBER($U289),$U289*$J289*Assumptions!$B$4,"NA")</f>
        <v/>
      </c>
      <c r="Y289" s="9">
        <f>IF(ISNUMBER($V289),$V289*$J289*Assumptions!$B$4,"NA")</f>
        <v/>
      </c>
    </row>
    <row r="290">
      <c r="A290" s="5" t="inlineStr">
        <is>
          <t>Katsushiro</t>
        </is>
      </c>
      <c r="B290" s="5" t="inlineStr">
        <is>
          <t>Brackets and fittings</t>
        </is>
      </c>
      <c r="C290" s="5" t="inlineStr">
        <is>
          <t>AST Trading Inc</t>
        </is>
      </c>
      <c r="D290" s="5" t="inlineStr">
        <is>
          <t>Trader/Distributor</t>
        </is>
      </c>
      <c r="E290" s="5" t="inlineStr">
        <is>
          <t>United States</t>
        </is>
      </c>
      <c r="F290" s="5" t="n">
        <v>2023</v>
      </c>
      <c r="G290" s="5" t="n">
        <v>40</v>
      </c>
      <c r="H290" s="7" t="n">
        <v>574.42</v>
      </c>
      <c r="I290" s="5" t="inlineStr">
        <is>
          <t>USD</t>
        </is>
      </c>
      <c r="J290" s="8">
        <f>IF($I290="AUD",Assumptions!$B$2,Assumptions!$B$3)</f>
        <v/>
      </c>
      <c r="K290" s="9">
        <f>$G290*$H290*$J290</f>
        <v/>
      </c>
      <c r="L290" s="9">
        <f>$K290*Assumptions!$B$4</f>
        <v/>
      </c>
      <c r="M290" s="9">
        <f>RawTx[[#This Row],[Value USD]]/RawTx[[#This Row],[Quantity]]</f>
        <v/>
      </c>
      <c r="N290" s="9">
        <f>RawTx[[#This Row],[Value IDR]]/RawTx[[#This Row],[Quantity]]</f>
        <v/>
      </c>
      <c r="O290" s="4" t="inlineStr">
        <is>
          <t>HINGE</t>
        </is>
      </c>
      <c r="P290" s="5" t="inlineStr">
        <is>
          <t>NA</t>
        </is>
      </c>
      <c r="Q290" s="13" t="inlineStr">
        <is>
          <t>NA</t>
        </is>
      </c>
      <c r="R290" s="7" t="n">
        <v>8597.76</v>
      </c>
      <c r="S290" s="7">
        <f>IFERROR($R290/$G290,"")</f>
        <v/>
      </c>
      <c r="T290" s="7" t="inlineStr">
        <is>
          <t>NA</t>
        </is>
      </c>
      <c r="U290" s="7" t="inlineStr">
        <is>
          <t>NA</t>
        </is>
      </c>
      <c r="V290" s="7" t="inlineStr">
        <is>
          <t>NA</t>
        </is>
      </c>
      <c r="W290" s="9">
        <f>IF(ISNUMBER($T290),$T290*$J290*Assumptions!$B$4,"NA")</f>
        <v/>
      </c>
      <c r="X290" s="9">
        <f>IF(ISNUMBER($U290),$U290*$J290*Assumptions!$B$4,"NA")</f>
        <v/>
      </c>
      <c r="Y290" s="9">
        <f>IF(ISNUMBER($V290),$V290*$J290*Assumptions!$B$4,"NA")</f>
        <v/>
      </c>
    </row>
    <row r="291">
      <c r="A291" s="5" t="inlineStr">
        <is>
          <t>Katsushiro</t>
        </is>
      </c>
      <c r="B291" s="5" t="inlineStr">
        <is>
          <t>Brackets and fittings</t>
        </is>
      </c>
      <c r="C291" s="5" t="inlineStr">
        <is>
          <t>AST Trading Inc</t>
        </is>
      </c>
      <c r="D291" s="5" t="inlineStr">
        <is>
          <t>Trader/Distributor</t>
        </is>
      </c>
      <c r="E291" s="5" t="inlineStr">
        <is>
          <t>United States</t>
        </is>
      </c>
      <c r="F291" s="5" t="n">
        <v>2023</v>
      </c>
      <c r="G291" s="5" t="n">
        <v>54</v>
      </c>
      <c r="H291" s="7" t="n">
        <v>547.22</v>
      </c>
      <c r="I291" s="5" t="inlineStr">
        <is>
          <t>USD</t>
        </is>
      </c>
      <c r="J291" s="8">
        <f>IF($I291="AUD",Assumptions!$B$2,Assumptions!$B$3)</f>
        <v/>
      </c>
      <c r="K291" s="9">
        <f>$G291*$H291*$J291</f>
        <v/>
      </c>
      <c r="L291" s="9">
        <f>$K291*Assumptions!$B$4</f>
        <v/>
      </c>
      <c r="M291" s="9">
        <f>RawTx[[#This Row],[Value USD]]/RawTx[[#This Row],[Quantity]]</f>
        <v/>
      </c>
      <c r="N291" s="9">
        <f>RawTx[[#This Row],[Value IDR]]/RawTx[[#This Row],[Quantity]]</f>
        <v/>
      </c>
      <c r="O291" s="4" t="inlineStr">
        <is>
          <t>HMM400 BRACKET LH/RH BODY PROTECTOR</t>
        </is>
      </c>
      <c r="P291" s="5" t="inlineStr">
        <is>
          <t>Komatsu</t>
        </is>
      </c>
      <c r="Q291" s="14" t="inlineStr">
        <is>
          <t>HM400</t>
        </is>
      </c>
      <c r="R291" s="7" t="n">
        <v>8379</v>
      </c>
      <c r="S291" s="7">
        <f>IFERROR($R291/$G291,"")</f>
        <v/>
      </c>
      <c r="T291" s="7" t="inlineStr">
        <is>
          <t>NA</t>
        </is>
      </c>
      <c r="U291" s="7" t="inlineStr">
        <is>
          <t>NA</t>
        </is>
      </c>
      <c r="V291" s="7" t="inlineStr">
        <is>
          <t>NA</t>
        </is>
      </c>
      <c r="W291" s="9">
        <f>IF(ISNUMBER($T291),$T291*$J291*Assumptions!$B$4,"NA")</f>
        <v/>
      </c>
      <c r="X291" s="9">
        <f>IF(ISNUMBER($U291),$U291*$J291*Assumptions!$B$4,"NA")</f>
        <v/>
      </c>
      <c r="Y291" s="9">
        <f>IF(ISNUMBER($V291),$V291*$J291*Assumptions!$B$4,"NA")</f>
        <v/>
      </c>
    </row>
    <row r="292">
      <c r="A292" s="5" t="inlineStr">
        <is>
          <t>SSB Unit</t>
        </is>
      </c>
      <c r="B292" s="11" t="inlineStr">
        <is>
          <t>Tanks and service modules</t>
        </is>
      </c>
      <c r="C292" s="5" t="inlineStr">
        <is>
          <t>Orica Malaysia Sdn Bhd</t>
        </is>
      </c>
      <c r="D292" s="5" t="inlineStr">
        <is>
          <t>Contractor</t>
        </is>
      </c>
      <c r="E292" s="5" t="inlineStr">
        <is>
          <t>Malaysia</t>
        </is>
      </c>
      <c r="F292" s="5" t="n">
        <v>2024</v>
      </c>
      <c r="G292" s="5" t="n">
        <v>1</v>
      </c>
      <c r="H292" s="7" t="n">
        <v>35433</v>
      </c>
      <c r="I292" s="5" t="inlineStr">
        <is>
          <t>USD</t>
        </is>
      </c>
      <c r="J292" s="8">
        <f>IF($I292="AUD",Assumptions!$B$2,Assumptions!$B$3)</f>
        <v/>
      </c>
      <c r="K292" s="9">
        <f>$G292*$H292*$J292</f>
        <v/>
      </c>
      <c r="L292" s="9">
        <f>$K292*Assumptions!$B$4</f>
        <v/>
      </c>
      <c r="M292" s="9">
        <f>RawTx[[#This Row],[Value USD]]/RawTx[[#This Row],[Quantity]]</f>
        <v/>
      </c>
      <c r="N292" s="9">
        <f>RawTx[[#This Row],[Value IDR]]/RawTx[[#This Row],[Quantity]]</f>
        <v/>
      </c>
      <c r="O292" s="4" t="inlineStr">
        <is>
          <t>CYANIDE SPARGE TANK; 25 KL PART NO: 101509-001, OA...</t>
        </is>
      </c>
      <c r="P292" s="5" t="inlineStr">
        <is>
          <t>NA</t>
        </is>
      </c>
      <c r="Q292" s="13" t="inlineStr">
        <is>
          <t>NA</t>
        </is>
      </c>
      <c r="R292" s="7" t="n">
        <v>5470</v>
      </c>
      <c r="S292" s="7">
        <f>IFERROR($R292/$G292,"")</f>
        <v/>
      </c>
      <c r="T292" s="7" t="inlineStr">
        <is>
          <t>NA</t>
        </is>
      </c>
      <c r="U292" s="7" t="inlineStr">
        <is>
          <t>NA</t>
        </is>
      </c>
      <c r="V292" s="7" t="inlineStr">
        <is>
          <t>NA</t>
        </is>
      </c>
      <c r="W292" s="9">
        <f>IF(ISNUMBER($T292),$T292*$J292*Assumptions!$B$4,"NA")</f>
        <v/>
      </c>
      <c r="X292" s="9">
        <f>IF(ISNUMBER($U292),$U292*$J292*Assumptions!$B$4,"NA")</f>
        <v/>
      </c>
      <c r="Y292" s="9">
        <f>IF(ISNUMBER($V292),$V292*$J292*Assumptions!$B$4,"NA")</f>
        <v/>
      </c>
    </row>
    <row r="293">
      <c r="A293" s="5" t="inlineStr">
        <is>
          <t>SSB Unit</t>
        </is>
      </c>
      <c r="B293" s="11" t="inlineStr">
        <is>
          <t>Tanks and service modules</t>
        </is>
      </c>
      <c r="C293" s="5" t="inlineStr">
        <is>
          <t>Orica Malaysia Sdn Bhd</t>
        </is>
      </c>
      <c r="D293" s="5" t="inlineStr">
        <is>
          <t>Contractor</t>
        </is>
      </c>
      <c r="E293" s="5" t="inlineStr">
        <is>
          <t>Malaysia</t>
        </is>
      </c>
      <c r="F293" s="5" t="n">
        <v>2024</v>
      </c>
      <c r="G293" s="5" t="n">
        <v>1</v>
      </c>
      <c r="H293" s="7" t="n">
        <v>35433</v>
      </c>
      <c r="I293" s="5" t="inlineStr">
        <is>
          <t>USD</t>
        </is>
      </c>
      <c r="J293" s="8">
        <f>IF($I293="AUD",Assumptions!$B$2,Assumptions!$B$3)</f>
        <v/>
      </c>
      <c r="K293" s="9">
        <f>$G293*$H293*$J293</f>
        <v/>
      </c>
      <c r="L293" s="9">
        <f>$K293*Assumptions!$B$4</f>
        <v/>
      </c>
      <c r="M293" s="9">
        <f>RawTx[[#This Row],[Value USD]]/RawTx[[#This Row],[Quantity]]</f>
        <v/>
      </c>
      <c r="N293" s="9">
        <f>RawTx[[#This Row],[Value IDR]]/RawTx[[#This Row],[Quantity]]</f>
        <v/>
      </c>
      <c r="O293" s="4" t="inlineStr">
        <is>
          <t>CYANIDE SPARGE TANK; 25KL PART NO: 101510-001, OA...</t>
        </is>
      </c>
      <c r="P293" s="5" t="inlineStr">
        <is>
          <t>NA</t>
        </is>
      </c>
      <c r="Q293" s="13" t="inlineStr">
        <is>
          <t>NA</t>
        </is>
      </c>
      <c r="R293" s="7" t="n">
        <v>5450</v>
      </c>
      <c r="S293" s="7">
        <f>IFERROR($R293/$G293,"")</f>
        <v/>
      </c>
      <c r="T293" s="7" t="inlineStr">
        <is>
          <t>NA</t>
        </is>
      </c>
      <c r="U293" s="7" t="inlineStr">
        <is>
          <t>NA</t>
        </is>
      </c>
      <c r="V293" s="7" t="inlineStr">
        <is>
          <t>NA</t>
        </is>
      </c>
      <c r="W293" s="9">
        <f>IF(ISNUMBER($T293),$T293*$J293*Assumptions!$B$4,"NA")</f>
        <v/>
      </c>
      <c r="X293" s="9">
        <f>IF(ISNUMBER($U293),$U293*$J293*Assumptions!$B$4,"NA")</f>
        <v/>
      </c>
      <c r="Y293" s="9">
        <f>IF(ISNUMBER($V293),$V293*$J293*Assumptions!$B$4,"NA")</f>
        <v/>
      </c>
    </row>
    <row r="294">
      <c r="A294" s="5" t="inlineStr">
        <is>
          <t>SSB Unit</t>
        </is>
      </c>
      <c r="B294" s="11" t="inlineStr">
        <is>
          <t>Tanks and service modules</t>
        </is>
      </c>
      <c r="C294" s="5" t="inlineStr">
        <is>
          <t>Orica Malaysia Sdn Bhd</t>
        </is>
      </c>
      <c r="D294" s="5" t="inlineStr">
        <is>
          <t>Contractor</t>
        </is>
      </c>
      <c r="E294" s="5" t="inlineStr">
        <is>
          <t>Malaysia</t>
        </is>
      </c>
      <c r="F294" s="5" t="n">
        <v>2024</v>
      </c>
      <c r="G294" s="5" t="n">
        <v>1</v>
      </c>
      <c r="H294" s="7" t="n">
        <v>35433</v>
      </c>
      <c r="I294" s="5" t="inlineStr">
        <is>
          <t>USD</t>
        </is>
      </c>
      <c r="J294" s="8">
        <f>IF($I294="AUD",Assumptions!$B$2,Assumptions!$B$3)</f>
        <v/>
      </c>
      <c r="K294" s="9">
        <f>$G294*$H294*$J294</f>
        <v/>
      </c>
      <c r="L294" s="9">
        <f>$K294*Assumptions!$B$4</f>
        <v/>
      </c>
      <c r="M294" s="9">
        <f>RawTx[[#This Row],[Value USD]]/RawTx[[#This Row],[Quantity]]</f>
        <v/>
      </c>
      <c r="N294" s="9">
        <f>RawTx[[#This Row],[Value IDR]]/RawTx[[#This Row],[Quantity]]</f>
        <v/>
      </c>
      <c r="O294" s="4" t="inlineStr">
        <is>
          <t>CYANIDE SPARGE TANK; 25 KL PART NO: 101507-001, OA...</t>
        </is>
      </c>
      <c r="P294" s="5" t="inlineStr">
        <is>
          <t>NA</t>
        </is>
      </c>
      <c r="Q294" s="13" t="inlineStr">
        <is>
          <t>NA</t>
        </is>
      </c>
      <c r="R294" s="7" t="n">
        <v>5600</v>
      </c>
      <c r="S294" s="7">
        <f>IFERROR($R294/$G294,"")</f>
        <v/>
      </c>
      <c r="T294" s="7" t="inlineStr">
        <is>
          <t>NA</t>
        </is>
      </c>
      <c r="U294" s="7" t="inlineStr">
        <is>
          <t>NA</t>
        </is>
      </c>
      <c r="V294" s="7" t="inlineStr">
        <is>
          <t>NA</t>
        </is>
      </c>
      <c r="W294" s="9">
        <f>IF(ISNUMBER($T294),$T294*$J294*Assumptions!$B$4,"NA")</f>
        <v/>
      </c>
      <c r="X294" s="9">
        <f>IF(ISNUMBER($U294),$U294*$J294*Assumptions!$B$4,"NA")</f>
        <v/>
      </c>
      <c r="Y294" s="9">
        <f>IF(ISNUMBER($V294),$V294*$J294*Assumptions!$B$4,"NA")</f>
        <v/>
      </c>
    </row>
    <row r="295">
      <c r="A295" s="5" t="inlineStr">
        <is>
          <t>SSB Unit</t>
        </is>
      </c>
      <c r="B295" s="11" t="inlineStr">
        <is>
          <t>Tanks and service modules</t>
        </is>
      </c>
      <c r="C295" s="5" t="inlineStr">
        <is>
          <t>Orica Malaysia Sdn Bhd</t>
        </is>
      </c>
      <c r="D295" s="5" t="inlineStr">
        <is>
          <t>Contractor</t>
        </is>
      </c>
      <c r="E295" s="5" t="inlineStr">
        <is>
          <t>Malaysia</t>
        </is>
      </c>
      <c r="F295" s="5" t="n">
        <v>2024</v>
      </c>
      <c r="G295" s="5" t="n">
        <v>1</v>
      </c>
      <c r="H295" s="7" t="n">
        <v>35433</v>
      </c>
      <c r="I295" s="5" t="inlineStr">
        <is>
          <t>USD</t>
        </is>
      </c>
      <c r="J295" s="8">
        <f>IF($I295="AUD",Assumptions!$B$2,Assumptions!$B$3)</f>
        <v/>
      </c>
      <c r="K295" s="9">
        <f>$G295*$H295*$J295</f>
        <v/>
      </c>
      <c r="L295" s="9">
        <f>$K295*Assumptions!$B$4</f>
        <v/>
      </c>
      <c r="M295" s="9">
        <f>RawTx[[#This Row],[Value USD]]/RawTx[[#This Row],[Quantity]]</f>
        <v/>
      </c>
      <c r="N295" s="9">
        <f>RawTx[[#This Row],[Value IDR]]/RawTx[[#This Row],[Quantity]]</f>
        <v/>
      </c>
      <c r="O295" s="4" t="inlineStr">
        <is>
          <t>CYANIDE SPARGE TANK; 25 KL PART NO: 101504-001, OA...</t>
        </is>
      </c>
      <c r="P295" s="5" t="inlineStr">
        <is>
          <t>NA</t>
        </is>
      </c>
      <c r="Q295" s="13" t="inlineStr">
        <is>
          <t>NA</t>
        </is>
      </c>
      <c r="R295" s="7" t="n">
        <v>5580</v>
      </c>
      <c r="S295" s="7">
        <f>IFERROR($R295/$G295,"")</f>
        <v/>
      </c>
      <c r="T295" s="7" t="inlineStr">
        <is>
          <t>NA</t>
        </is>
      </c>
      <c r="U295" s="7" t="inlineStr">
        <is>
          <t>NA</t>
        </is>
      </c>
      <c r="V295" s="7" t="inlineStr">
        <is>
          <t>NA</t>
        </is>
      </c>
      <c r="W295" s="9">
        <f>IF(ISNUMBER($T295),$T295*$J295*Assumptions!$B$4,"NA")</f>
        <v/>
      </c>
      <c r="X295" s="9">
        <f>IF(ISNUMBER($U295),$U295*$J295*Assumptions!$B$4,"NA")</f>
        <v/>
      </c>
      <c r="Y295" s="9">
        <f>IF(ISNUMBER($V295),$V295*$J295*Assumptions!$B$4,"NA")</f>
        <v/>
      </c>
    </row>
    <row r="296">
      <c r="A296" s="5" t="inlineStr">
        <is>
          <t>SSB Unit</t>
        </is>
      </c>
      <c r="B296" s="11" t="inlineStr">
        <is>
          <t>Tanks and service modules</t>
        </is>
      </c>
      <c r="C296" s="5" t="inlineStr">
        <is>
          <t>Orica Malaysia Sdn Bhd</t>
        </is>
      </c>
      <c r="D296" s="5" t="inlineStr">
        <is>
          <t>Contractor</t>
        </is>
      </c>
      <c r="E296" s="5" t="inlineStr">
        <is>
          <t>Malaysia</t>
        </is>
      </c>
      <c r="F296" s="5" t="n">
        <v>2024</v>
      </c>
      <c r="G296" s="5" t="n">
        <v>1</v>
      </c>
      <c r="H296" s="7" t="n">
        <v>35433</v>
      </c>
      <c r="I296" s="5" t="inlineStr">
        <is>
          <t>USD</t>
        </is>
      </c>
      <c r="J296" s="8">
        <f>IF($I296="AUD",Assumptions!$B$2,Assumptions!$B$3)</f>
        <v/>
      </c>
      <c r="K296" s="9">
        <f>$G296*$H296*$J296</f>
        <v/>
      </c>
      <c r="L296" s="9">
        <f>$K296*Assumptions!$B$4</f>
        <v/>
      </c>
      <c r="M296" s="9">
        <f>RawTx[[#This Row],[Value USD]]/RawTx[[#This Row],[Quantity]]</f>
        <v/>
      </c>
      <c r="N296" s="9">
        <f>RawTx[[#This Row],[Value IDR]]/RawTx[[#This Row],[Quantity]]</f>
        <v/>
      </c>
      <c r="O296" s="4" t="inlineStr">
        <is>
          <t>CYANIDE SPARGE TANK; 25 KL PART NO: 101506-001, OA...</t>
        </is>
      </c>
      <c r="P296" s="5" t="inlineStr">
        <is>
          <t>NA</t>
        </is>
      </c>
      <c r="Q296" s="13" t="inlineStr">
        <is>
          <t>NA</t>
        </is>
      </c>
      <c r="R296" s="7" t="n">
        <v>5620</v>
      </c>
      <c r="S296" s="7">
        <f>IFERROR($R296/$G296,"")</f>
        <v/>
      </c>
      <c r="T296" s="7" t="inlineStr">
        <is>
          <t>NA</t>
        </is>
      </c>
      <c r="U296" s="7" t="inlineStr">
        <is>
          <t>NA</t>
        </is>
      </c>
      <c r="V296" s="7" t="inlineStr">
        <is>
          <t>NA</t>
        </is>
      </c>
      <c r="W296" s="9">
        <f>IF(ISNUMBER($T296),$T296*$J296*Assumptions!$B$4,"NA")</f>
        <v/>
      </c>
      <c r="X296" s="9">
        <f>IF(ISNUMBER($U296),$U296*$J296*Assumptions!$B$4,"NA")</f>
        <v/>
      </c>
      <c r="Y296" s="9">
        <f>IF(ISNUMBER($V296),$V296*$J296*Assumptions!$B$4,"NA")</f>
        <v/>
      </c>
    </row>
    <row r="297">
      <c r="A297" s="5" t="inlineStr">
        <is>
          <t>SSB Unit</t>
        </is>
      </c>
      <c r="B297" s="11" t="inlineStr">
        <is>
          <t>Tanks and service modules</t>
        </is>
      </c>
      <c r="C297" s="5" t="inlineStr">
        <is>
          <t>Orica Malaysia Sdn Bhd</t>
        </is>
      </c>
      <c r="D297" s="5" t="inlineStr">
        <is>
          <t>Contractor</t>
        </is>
      </c>
      <c r="E297" s="5" t="inlineStr">
        <is>
          <t>Malaysia</t>
        </is>
      </c>
      <c r="F297" s="5" t="n">
        <v>2024</v>
      </c>
      <c r="G297" s="5" t="n">
        <v>1</v>
      </c>
      <c r="H297" s="7" t="n">
        <v>35433</v>
      </c>
      <c r="I297" s="5" t="inlineStr">
        <is>
          <t>USD</t>
        </is>
      </c>
      <c r="J297" s="8">
        <f>IF($I297="AUD",Assumptions!$B$2,Assumptions!$B$3)</f>
        <v/>
      </c>
      <c r="K297" s="9">
        <f>$G297*$H297*$J297</f>
        <v/>
      </c>
      <c r="L297" s="9">
        <f>$K297*Assumptions!$B$4</f>
        <v/>
      </c>
      <c r="M297" s="9">
        <f>RawTx[[#This Row],[Value USD]]/RawTx[[#This Row],[Quantity]]</f>
        <v/>
      </c>
      <c r="N297" s="9">
        <f>RawTx[[#This Row],[Value IDR]]/RawTx[[#This Row],[Quantity]]</f>
        <v/>
      </c>
      <c r="O297" s="4" t="inlineStr">
        <is>
          <t>CYANIDE SPARGE TANK; 25 KL PART NO: 101508-001, OA...</t>
        </is>
      </c>
      <c r="P297" s="5" t="inlineStr">
        <is>
          <t>NA</t>
        </is>
      </c>
      <c r="Q297" s="13" t="inlineStr">
        <is>
          <t>NA</t>
        </is>
      </c>
      <c r="R297" s="7" t="n">
        <v>5610</v>
      </c>
      <c r="S297" s="7">
        <f>IFERROR($R297/$G297,"")</f>
        <v/>
      </c>
      <c r="T297" s="7" t="inlineStr">
        <is>
          <t>NA</t>
        </is>
      </c>
      <c r="U297" s="7" t="inlineStr">
        <is>
          <t>NA</t>
        </is>
      </c>
      <c r="V297" s="7" t="inlineStr">
        <is>
          <t>NA</t>
        </is>
      </c>
      <c r="W297" s="9">
        <f>IF(ISNUMBER($T297),$T297*$J297*Assumptions!$B$4,"NA")</f>
        <v/>
      </c>
      <c r="X297" s="9">
        <f>IF(ISNUMBER($U297),$U297*$J297*Assumptions!$B$4,"NA")</f>
        <v/>
      </c>
      <c r="Y297" s="9">
        <f>IF(ISNUMBER($V297),$V297*$J297*Assumptions!$B$4,"NA")</f>
        <v/>
      </c>
    </row>
    <row r="298">
      <c r="A298" s="5" t="inlineStr">
        <is>
          <t>SSB Unit</t>
        </is>
      </c>
      <c r="B298" s="11" t="inlineStr">
        <is>
          <t>Tanks and service modules</t>
        </is>
      </c>
      <c r="C298" s="5" t="inlineStr">
        <is>
          <t>Orica Malaysia Sdn Bhd</t>
        </is>
      </c>
      <c r="D298" s="5" t="inlineStr">
        <is>
          <t>Contractor</t>
        </is>
      </c>
      <c r="E298" s="5" t="inlineStr">
        <is>
          <t>Malaysia</t>
        </is>
      </c>
      <c r="F298" s="5" t="n">
        <v>2024</v>
      </c>
      <c r="G298" s="5" t="n">
        <v>1</v>
      </c>
      <c r="H298" s="7" t="n">
        <v>35433</v>
      </c>
      <c r="I298" s="5" t="inlineStr">
        <is>
          <t>USD</t>
        </is>
      </c>
      <c r="J298" s="8">
        <f>IF($I298="AUD",Assumptions!$B$2,Assumptions!$B$3)</f>
        <v/>
      </c>
      <c r="K298" s="9">
        <f>$G298*$H298*$J298</f>
        <v/>
      </c>
      <c r="L298" s="9">
        <f>$K298*Assumptions!$B$4</f>
        <v/>
      </c>
      <c r="M298" s="9">
        <f>RawTx[[#This Row],[Value USD]]/RawTx[[#This Row],[Quantity]]</f>
        <v/>
      </c>
      <c r="N298" s="9">
        <f>RawTx[[#This Row],[Value IDR]]/RawTx[[#This Row],[Quantity]]</f>
        <v/>
      </c>
      <c r="O298" s="4" t="inlineStr">
        <is>
          <t>CYANIDE SPARGE TANK; 25 KL PART NO: 101505-001, OA...</t>
        </is>
      </c>
      <c r="P298" s="5" t="inlineStr">
        <is>
          <t>NA</t>
        </is>
      </c>
      <c r="Q298" s="13" t="inlineStr">
        <is>
          <t>NA</t>
        </is>
      </c>
      <c r="R298" s="7" t="n">
        <v>5610</v>
      </c>
      <c r="S298" s="7">
        <f>IFERROR($R298/$G298,"")</f>
        <v/>
      </c>
      <c r="T298" s="7" t="inlineStr">
        <is>
          <t>NA</t>
        </is>
      </c>
      <c r="U298" s="7" t="inlineStr">
        <is>
          <t>NA</t>
        </is>
      </c>
      <c r="V298" s="7" t="inlineStr">
        <is>
          <t>NA</t>
        </is>
      </c>
      <c r="W298" s="9">
        <f>IF(ISNUMBER($T298),$T298*$J298*Assumptions!$B$4,"NA")</f>
        <v/>
      </c>
      <c r="X298" s="9">
        <f>IF(ISNUMBER($U298),$U298*$J298*Assumptions!$B$4,"NA")</f>
        <v/>
      </c>
      <c r="Y298" s="9">
        <f>IF(ISNUMBER($V298),$V298*$J298*Assumptions!$B$4,"NA")</f>
        <v/>
      </c>
    </row>
    <row r="299">
      <c r="A299" s="5" t="inlineStr">
        <is>
          <t>SSB Unit</t>
        </is>
      </c>
      <c r="B299" s="11" t="inlineStr">
        <is>
          <t>Tanks and service modules</t>
        </is>
      </c>
      <c r="C299" s="5" t="inlineStr">
        <is>
          <t>Orica Malaysia Sdn Bhd</t>
        </is>
      </c>
      <c r="D299" s="5" t="inlineStr">
        <is>
          <t>Contractor</t>
        </is>
      </c>
      <c r="E299" s="5" t="inlineStr">
        <is>
          <t>Malaysia</t>
        </is>
      </c>
      <c r="F299" s="5" t="n">
        <v>2024</v>
      </c>
      <c r="G299" s="5" t="n">
        <v>1</v>
      </c>
      <c r="H299" s="7" t="n">
        <v>35433</v>
      </c>
      <c r="I299" s="5" t="inlineStr">
        <is>
          <t>USD</t>
        </is>
      </c>
      <c r="J299" s="8">
        <f>IF($I299="AUD",Assumptions!$B$2,Assumptions!$B$3)</f>
        <v/>
      </c>
      <c r="K299" s="9">
        <f>$G299*$H299*$J299</f>
        <v/>
      </c>
      <c r="L299" s="9">
        <f>$K299*Assumptions!$B$4</f>
        <v/>
      </c>
      <c r="M299" s="9">
        <f>RawTx[[#This Row],[Value USD]]/RawTx[[#This Row],[Quantity]]</f>
        <v/>
      </c>
      <c r="N299" s="9">
        <f>RawTx[[#This Row],[Value IDR]]/RawTx[[#This Row],[Quantity]]</f>
        <v/>
      </c>
      <c r="O299" s="4" t="inlineStr">
        <is>
          <t>CYANIDE SPARGE TANK; 25 KL PART NO: 101499-001, OA...</t>
        </is>
      </c>
      <c r="P299" s="5" t="inlineStr">
        <is>
          <t>NA</t>
        </is>
      </c>
      <c r="Q299" s="13" t="inlineStr">
        <is>
          <t>NA</t>
        </is>
      </c>
      <c r="R299" s="7" t="n">
        <v>5540</v>
      </c>
      <c r="S299" s="7">
        <f>IFERROR($R299/$G299,"")</f>
        <v/>
      </c>
      <c r="T299" s="7" t="inlineStr">
        <is>
          <t>NA</t>
        </is>
      </c>
      <c r="U299" s="7" t="inlineStr">
        <is>
          <t>NA</t>
        </is>
      </c>
      <c r="V299" s="7" t="inlineStr">
        <is>
          <t>NA</t>
        </is>
      </c>
      <c r="W299" s="9">
        <f>IF(ISNUMBER($T299),$T299*$J299*Assumptions!$B$4,"NA")</f>
        <v/>
      </c>
      <c r="X299" s="9">
        <f>IF(ISNUMBER($U299),$U299*$J299*Assumptions!$B$4,"NA")</f>
        <v/>
      </c>
      <c r="Y299" s="9">
        <f>IF(ISNUMBER($V299),$V299*$J299*Assumptions!$B$4,"NA")</f>
        <v/>
      </c>
    </row>
    <row r="300">
      <c r="A300" s="5" t="inlineStr">
        <is>
          <t>SSB Unit</t>
        </is>
      </c>
      <c r="B300" s="11" t="inlineStr">
        <is>
          <t>Tanks and service modules</t>
        </is>
      </c>
      <c r="C300" s="5" t="inlineStr">
        <is>
          <t>Orica Malaysia Sdn Bhd</t>
        </is>
      </c>
      <c r="D300" s="5" t="inlineStr">
        <is>
          <t>Contractor</t>
        </is>
      </c>
      <c r="E300" s="5" t="inlineStr">
        <is>
          <t>Malaysia</t>
        </is>
      </c>
      <c r="F300" s="5" t="n">
        <v>2024</v>
      </c>
      <c r="G300" s="5" t="n">
        <v>1</v>
      </c>
      <c r="H300" s="7" t="n">
        <v>35433</v>
      </c>
      <c r="I300" s="5" t="inlineStr">
        <is>
          <t>USD</t>
        </is>
      </c>
      <c r="J300" s="8">
        <f>IF($I300="AUD",Assumptions!$B$2,Assumptions!$B$3)</f>
        <v/>
      </c>
      <c r="K300" s="9">
        <f>$G300*$H300*$J300</f>
        <v/>
      </c>
      <c r="L300" s="9">
        <f>$K300*Assumptions!$B$4</f>
        <v/>
      </c>
      <c r="M300" s="9">
        <f>RawTx[[#This Row],[Value USD]]/RawTx[[#This Row],[Quantity]]</f>
        <v/>
      </c>
      <c r="N300" s="9">
        <f>RawTx[[#This Row],[Value IDR]]/RawTx[[#This Row],[Quantity]]</f>
        <v/>
      </c>
      <c r="O300" s="4" t="inlineStr">
        <is>
          <t>CYANIDE SPARGE TANK; 25 KL PART NO: 101502-001, OA...</t>
        </is>
      </c>
      <c r="P300" s="5" t="inlineStr">
        <is>
          <t>NA</t>
        </is>
      </c>
      <c r="Q300" s="13" t="inlineStr">
        <is>
          <t>NA</t>
        </is>
      </c>
      <c r="R300" s="7" t="n">
        <v>5540</v>
      </c>
      <c r="S300" s="7">
        <f>IFERROR($R300/$G300,"")</f>
        <v/>
      </c>
      <c r="T300" s="7" t="inlineStr">
        <is>
          <t>NA</t>
        </is>
      </c>
      <c r="U300" s="7" t="inlineStr">
        <is>
          <t>NA</t>
        </is>
      </c>
      <c r="V300" s="7" t="inlineStr">
        <is>
          <t>NA</t>
        </is>
      </c>
      <c r="W300" s="9">
        <f>IF(ISNUMBER($T300),$T300*$J300*Assumptions!$B$4,"NA")</f>
        <v/>
      </c>
      <c r="X300" s="9">
        <f>IF(ISNUMBER($U300),$U300*$J300*Assumptions!$B$4,"NA")</f>
        <v/>
      </c>
      <c r="Y300" s="9">
        <f>IF(ISNUMBER($V300),$V300*$J300*Assumptions!$B$4,"NA")</f>
        <v/>
      </c>
    </row>
    <row r="301">
      <c r="A301" s="5" t="inlineStr">
        <is>
          <t>SSB Unit</t>
        </is>
      </c>
      <c r="B301" s="11" t="inlineStr">
        <is>
          <t>Tanks and service modules</t>
        </is>
      </c>
      <c r="C301" s="5" t="inlineStr">
        <is>
          <t>Orica Malaysia Sdn Bhd</t>
        </is>
      </c>
      <c r="D301" s="5" t="inlineStr">
        <is>
          <t>Contractor</t>
        </is>
      </c>
      <c r="E301" s="5" t="inlineStr">
        <is>
          <t>Malaysia</t>
        </is>
      </c>
      <c r="F301" s="5" t="n">
        <v>2024</v>
      </c>
      <c r="G301" s="5" t="n">
        <v>1</v>
      </c>
      <c r="H301" s="7" t="n">
        <v>35433</v>
      </c>
      <c r="I301" s="5" t="inlineStr">
        <is>
          <t>USD</t>
        </is>
      </c>
      <c r="J301" s="8">
        <f>IF($I301="AUD",Assumptions!$B$2,Assumptions!$B$3)</f>
        <v/>
      </c>
      <c r="K301" s="9">
        <f>$G301*$H301*$J301</f>
        <v/>
      </c>
      <c r="L301" s="9">
        <f>$K301*Assumptions!$B$4</f>
        <v/>
      </c>
      <c r="M301" s="9">
        <f>RawTx[[#This Row],[Value USD]]/RawTx[[#This Row],[Quantity]]</f>
        <v/>
      </c>
      <c r="N301" s="9">
        <f>RawTx[[#This Row],[Value IDR]]/RawTx[[#This Row],[Quantity]]</f>
        <v/>
      </c>
      <c r="O301" s="4" t="inlineStr">
        <is>
          <t>CYANIDE SPARGE TANK; 25 KL PART NO: 101501-001, OA...</t>
        </is>
      </c>
      <c r="P301" s="5" t="inlineStr">
        <is>
          <t>NA</t>
        </is>
      </c>
      <c r="Q301" s="13" t="inlineStr">
        <is>
          <t>NA</t>
        </is>
      </c>
      <c r="R301" s="7" t="n">
        <v>5540</v>
      </c>
      <c r="S301" s="7">
        <f>IFERROR($R301/$G301,"")</f>
        <v/>
      </c>
      <c r="T301" s="7" t="inlineStr">
        <is>
          <t>NA</t>
        </is>
      </c>
      <c r="U301" s="7" t="inlineStr">
        <is>
          <t>NA</t>
        </is>
      </c>
      <c r="V301" s="7" t="inlineStr">
        <is>
          <t>NA</t>
        </is>
      </c>
      <c r="W301" s="9">
        <f>IF(ISNUMBER($T301),$T301*$J301*Assumptions!$B$4,"NA")</f>
        <v/>
      </c>
      <c r="X301" s="9">
        <f>IF(ISNUMBER($U301),$U301*$J301*Assumptions!$B$4,"NA")</f>
        <v/>
      </c>
      <c r="Y301" s="9">
        <f>IF(ISNUMBER($V301),$V301*$J301*Assumptions!$B$4,"NA")</f>
        <v/>
      </c>
    </row>
    <row r="302">
      <c r="A302" s="5" t="inlineStr">
        <is>
          <t>SSB Unit</t>
        </is>
      </c>
      <c r="B302" s="11" t="inlineStr">
        <is>
          <t>Tanks and service modules</t>
        </is>
      </c>
      <c r="C302" s="5" t="inlineStr">
        <is>
          <t>Orica Malaysia Sdn Bhd</t>
        </is>
      </c>
      <c r="D302" s="5" t="inlineStr">
        <is>
          <t>Contractor</t>
        </is>
      </c>
      <c r="E302" s="5" t="inlineStr">
        <is>
          <t>Malaysia</t>
        </is>
      </c>
      <c r="F302" s="5" t="n">
        <v>2024</v>
      </c>
      <c r="G302" s="5" t="n">
        <v>1</v>
      </c>
      <c r="H302" s="7" t="n">
        <v>35433</v>
      </c>
      <c r="I302" s="5" t="inlineStr">
        <is>
          <t>USD</t>
        </is>
      </c>
      <c r="J302" s="8">
        <f>IF($I302="AUD",Assumptions!$B$2,Assumptions!$B$3)</f>
        <v/>
      </c>
      <c r="K302" s="9">
        <f>$G302*$H302*$J302</f>
        <v/>
      </c>
      <c r="L302" s="9">
        <f>$K302*Assumptions!$B$4</f>
        <v/>
      </c>
      <c r="M302" s="9">
        <f>RawTx[[#This Row],[Value USD]]/RawTx[[#This Row],[Quantity]]</f>
        <v/>
      </c>
      <c r="N302" s="9">
        <f>RawTx[[#This Row],[Value IDR]]/RawTx[[#This Row],[Quantity]]</f>
        <v/>
      </c>
      <c r="O302" s="4" t="inlineStr">
        <is>
          <t>CYANIDE SPARGE TANK; 25 KL PART NO: 101503-001, OA...</t>
        </is>
      </c>
      <c r="P302" s="5" t="inlineStr">
        <is>
          <t>NA</t>
        </is>
      </c>
      <c r="Q302" s="13" t="inlineStr">
        <is>
          <t>NA</t>
        </is>
      </c>
      <c r="R302" s="7" t="n">
        <v>5540</v>
      </c>
      <c r="S302" s="7">
        <f>IFERROR($R302/$G302,"")</f>
        <v/>
      </c>
      <c r="T302" s="7" t="inlineStr">
        <is>
          <t>NA</t>
        </is>
      </c>
      <c r="U302" s="7" t="inlineStr">
        <is>
          <t>NA</t>
        </is>
      </c>
      <c r="V302" s="7" t="inlineStr">
        <is>
          <t>NA</t>
        </is>
      </c>
      <c r="W302" s="9">
        <f>IF(ISNUMBER($T302),$T302*$J302*Assumptions!$B$4,"NA")</f>
        <v/>
      </c>
      <c r="X302" s="9">
        <f>IF(ISNUMBER($U302),$U302*$J302*Assumptions!$B$4,"NA")</f>
        <v/>
      </c>
      <c r="Y302" s="9">
        <f>IF(ISNUMBER($V302),$V302*$J302*Assumptions!$B$4,"NA")</f>
        <v/>
      </c>
    </row>
    <row r="303">
      <c r="A303" s="5" t="inlineStr">
        <is>
          <t>SSB Unit</t>
        </is>
      </c>
      <c r="B303" s="11" t="inlineStr">
        <is>
          <t>Tanks and service modules</t>
        </is>
      </c>
      <c r="C303" s="5" t="inlineStr">
        <is>
          <t>Orica Malaysia Sdn Bhd</t>
        </is>
      </c>
      <c r="D303" s="5" t="inlineStr">
        <is>
          <t>Contractor</t>
        </is>
      </c>
      <c r="E303" s="5" t="inlineStr">
        <is>
          <t>Malaysia</t>
        </is>
      </c>
      <c r="F303" s="5" t="n">
        <v>2024</v>
      </c>
      <c r="G303" s="5" t="n">
        <v>1</v>
      </c>
      <c r="H303" s="7" t="n">
        <v>35433</v>
      </c>
      <c r="I303" s="5" t="inlineStr">
        <is>
          <t>USD</t>
        </is>
      </c>
      <c r="J303" s="8">
        <f>IF($I303="AUD",Assumptions!$B$2,Assumptions!$B$3)</f>
        <v/>
      </c>
      <c r="K303" s="9">
        <f>$G303*$H303*$J303</f>
        <v/>
      </c>
      <c r="L303" s="9">
        <f>$K303*Assumptions!$B$4</f>
        <v/>
      </c>
      <c r="M303" s="9">
        <f>RawTx[[#This Row],[Value USD]]/RawTx[[#This Row],[Quantity]]</f>
        <v/>
      </c>
      <c r="N303" s="9">
        <f>RawTx[[#This Row],[Value IDR]]/RawTx[[#This Row],[Quantity]]</f>
        <v/>
      </c>
      <c r="O303" s="4" t="inlineStr">
        <is>
          <t>CYANIDE SPARGE TANK; 25 KL PART NO: 101500-001, OA...</t>
        </is>
      </c>
      <c r="P303" s="5" t="inlineStr">
        <is>
          <t>NA</t>
        </is>
      </c>
      <c r="Q303" s="13" t="inlineStr">
        <is>
          <t>NA</t>
        </is>
      </c>
      <c r="R303" s="7" t="n">
        <v>5540</v>
      </c>
      <c r="S303" s="7">
        <f>IFERROR($R303/$G303,"")</f>
        <v/>
      </c>
      <c r="T303" s="7" t="inlineStr">
        <is>
          <t>NA</t>
        </is>
      </c>
      <c r="U303" s="7" t="inlineStr">
        <is>
          <t>NA</t>
        </is>
      </c>
      <c r="V303" s="7" t="inlineStr">
        <is>
          <t>NA</t>
        </is>
      </c>
      <c r="W303" s="9">
        <f>IF(ISNUMBER($T303),$T303*$J303*Assumptions!$B$4,"NA")</f>
        <v/>
      </c>
      <c r="X303" s="9">
        <f>IF(ISNUMBER($U303),$U303*$J303*Assumptions!$B$4,"NA")</f>
        <v/>
      </c>
      <c r="Y303" s="9">
        <f>IF(ISNUMBER($V303),$V303*$J303*Assumptions!$B$4,"NA")</f>
        <v/>
      </c>
    </row>
    <row r="304">
      <c r="A304" s="5" t="inlineStr">
        <is>
          <t>SSB Unit</t>
        </is>
      </c>
      <c r="B304" s="11" t="inlineStr">
        <is>
          <t>Tanks and service modules</t>
        </is>
      </c>
      <c r="C304" s="5" t="inlineStr">
        <is>
          <t>Orica Singapore Private Ltd</t>
        </is>
      </c>
      <c r="D304" s="5" t="inlineStr">
        <is>
          <t>Contractor</t>
        </is>
      </c>
      <c r="E304" s="5" t="inlineStr">
        <is>
          <t>Singapore</t>
        </is>
      </c>
      <c r="F304" s="5" t="n">
        <v>2024</v>
      </c>
      <c r="G304" s="5" t="n">
        <v>1</v>
      </c>
      <c r="H304" s="7" t="n">
        <v>35433</v>
      </c>
      <c r="I304" s="5" t="inlineStr">
        <is>
          <t>USD</t>
        </is>
      </c>
      <c r="J304" s="8">
        <f>IF($I304="AUD",Assumptions!$B$2,Assumptions!$B$3)</f>
        <v/>
      </c>
      <c r="K304" s="9">
        <f>$G304*$H304*$J304</f>
        <v/>
      </c>
      <c r="L304" s="9">
        <f>$K304*Assumptions!$B$4</f>
        <v/>
      </c>
      <c r="M304" s="9">
        <f>RawTx[[#This Row],[Value USD]]/RawTx[[#This Row],[Quantity]]</f>
        <v/>
      </c>
      <c r="N304" s="9">
        <f>RawTx[[#This Row],[Value IDR]]/RawTx[[#This Row],[Quantity]]</f>
        <v/>
      </c>
      <c r="O304" s="4" t="inlineStr">
        <is>
          <t>CYANIDE SPARGE TANK; 25 KL PART NO: 101495-001, OA...</t>
        </is>
      </c>
      <c r="P304" s="5" t="inlineStr">
        <is>
          <t>NA</t>
        </is>
      </c>
      <c r="Q304" s="13" t="inlineStr">
        <is>
          <t>NA</t>
        </is>
      </c>
      <c r="R304" s="7" t="n">
        <v>5000</v>
      </c>
      <c r="S304" s="7">
        <f>IFERROR($R304/$G304,"")</f>
        <v/>
      </c>
      <c r="T304" s="7" t="inlineStr">
        <is>
          <t>NA</t>
        </is>
      </c>
      <c r="U304" s="7" t="inlineStr">
        <is>
          <t>NA</t>
        </is>
      </c>
      <c r="V304" s="7" t="inlineStr">
        <is>
          <t>NA</t>
        </is>
      </c>
      <c r="W304" s="9">
        <f>IF(ISNUMBER($T304),$T304*$J304*Assumptions!$B$4,"NA")</f>
        <v/>
      </c>
      <c r="X304" s="9">
        <f>IF(ISNUMBER($U304),$U304*$J304*Assumptions!$B$4,"NA")</f>
        <v/>
      </c>
      <c r="Y304" s="9">
        <f>IF(ISNUMBER($V304),$V304*$J304*Assumptions!$B$4,"NA")</f>
        <v/>
      </c>
    </row>
    <row r="305">
      <c r="A305" s="5" t="inlineStr">
        <is>
          <t>SSB Unit</t>
        </is>
      </c>
      <c r="B305" s="11" t="inlineStr">
        <is>
          <t>Tanks and service modules</t>
        </is>
      </c>
      <c r="C305" s="5" t="inlineStr">
        <is>
          <t>Orica Singapore Private Ltd</t>
        </is>
      </c>
      <c r="D305" s="5" t="inlineStr">
        <is>
          <t>Contractor</t>
        </is>
      </c>
      <c r="E305" s="5" t="inlineStr">
        <is>
          <t>Singapore</t>
        </is>
      </c>
      <c r="F305" s="5" t="n">
        <v>2024</v>
      </c>
      <c r="G305" s="5" t="n">
        <v>1</v>
      </c>
      <c r="H305" s="7" t="n">
        <v>35433</v>
      </c>
      <c r="I305" s="5" t="inlineStr">
        <is>
          <t>USD</t>
        </is>
      </c>
      <c r="J305" s="8">
        <f>IF($I305="AUD",Assumptions!$B$2,Assumptions!$B$3)</f>
        <v/>
      </c>
      <c r="K305" s="9">
        <f>$G305*$H305*$J305</f>
        <v/>
      </c>
      <c r="L305" s="9">
        <f>$K305*Assumptions!$B$4</f>
        <v/>
      </c>
      <c r="M305" s="9">
        <f>RawTx[[#This Row],[Value USD]]/RawTx[[#This Row],[Quantity]]</f>
        <v/>
      </c>
      <c r="N305" s="9">
        <f>RawTx[[#This Row],[Value IDR]]/RawTx[[#This Row],[Quantity]]</f>
        <v/>
      </c>
      <c r="O305" s="4" t="inlineStr">
        <is>
          <t>CYANIDE SPARGE TANK; 25 KL PART NO: 101494-001, OA...</t>
        </is>
      </c>
      <c r="P305" s="5" t="inlineStr">
        <is>
          <t>NA</t>
        </is>
      </c>
      <c r="Q305" s="13" t="inlineStr">
        <is>
          <t>NA</t>
        </is>
      </c>
      <c r="R305" s="7" t="n">
        <v>5000</v>
      </c>
      <c r="S305" s="7">
        <f>IFERROR($R305/$G305,"")</f>
        <v/>
      </c>
      <c r="T305" s="7" t="inlineStr">
        <is>
          <t>NA</t>
        </is>
      </c>
      <c r="U305" s="7" t="inlineStr">
        <is>
          <t>NA</t>
        </is>
      </c>
      <c r="V305" s="7" t="inlineStr">
        <is>
          <t>NA</t>
        </is>
      </c>
      <c r="W305" s="9">
        <f>IF(ISNUMBER($T305),$T305*$J305*Assumptions!$B$4,"NA")</f>
        <v/>
      </c>
      <c r="X305" s="9">
        <f>IF(ISNUMBER($U305),$U305*$J305*Assumptions!$B$4,"NA")</f>
        <v/>
      </c>
      <c r="Y305" s="9">
        <f>IF(ISNUMBER($V305),$V305*$J305*Assumptions!$B$4,"NA")</f>
        <v/>
      </c>
    </row>
    <row r="306">
      <c r="A306" s="5" t="inlineStr">
        <is>
          <t>SSB Unit</t>
        </is>
      </c>
      <c r="B306" s="11" t="inlineStr">
        <is>
          <t>Tanks and service modules</t>
        </is>
      </c>
      <c r="C306" s="5" t="inlineStr">
        <is>
          <t>Orica Singapore Private Ltd</t>
        </is>
      </c>
      <c r="D306" s="5" t="inlineStr">
        <is>
          <t>Contractor</t>
        </is>
      </c>
      <c r="E306" s="5" t="inlineStr">
        <is>
          <t>Singapore</t>
        </is>
      </c>
      <c r="F306" s="5" t="n">
        <v>2024</v>
      </c>
      <c r="G306" s="5" t="n">
        <v>1</v>
      </c>
      <c r="H306" s="7" t="n">
        <v>35433</v>
      </c>
      <c r="I306" s="5" t="inlineStr">
        <is>
          <t>USD</t>
        </is>
      </c>
      <c r="J306" s="8">
        <f>IF($I306="AUD",Assumptions!$B$2,Assumptions!$B$3)</f>
        <v/>
      </c>
      <c r="K306" s="9">
        <f>$G306*$H306*$J306</f>
        <v/>
      </c>
      <c r="L306" s="9">
        <f>$K306*Assumptions!$B$4</f>
        <v/>
      </c>
      <c r="M306" s="9">
        <f>RawTx[[#This Row],[Value USD]]/RawTx[[#This Row],[Quantity]]</f>
        <v/>
      </c>
      <c r="N306" s="9">
        <f>RawTx[[#This Row],[Value IDR]]/RawTx[[#This Row],[Quantity]]</f>
        <v/>
      </c>
      <c r="O306" s="4" t="inlineStr">
        <is>
          <t>CYANIDE SPARGE TANK; 25 KL PART NO: 101496-001, OA...</t>
        </is>
      </c>
      <c r="P306" s="5" t="inlineStr">
        <is>
          <t>NA</t>
        </is>
      </c>
      <c r="Q306" s="13" t="inlineStr">
        <is>
          <t>NA</t>
        </is>
      </c>
      <c r="R306" s="7" t="n">
        <v>5000</v>
      </c>
      <c r="S306" s="7">
        <f>IFERROR($R306/$G306,"")</f>
        <v/>
      </c>
      <c r="T306" s="7" t="inlineStr">
        <is>
          <t>NA</t>
        </is>
      </c>
      <c r="U306" s="7" t="inlineStr">
        <is>
          <t>NA</t>
        </is>
      </c>
      <c r="V306" s="7" t="inlineStr">
        <is>
          <t>NA</t>
        </is>
      </c>
      <c r="W306" s="9">
        <f>IF(ISNUMBER($T306),$T306*$J306*Assumptions!$B$4,"NA")</f>
        <v/>
      </c>
      <c r="X306" s="9">
        <f>IF(ISNUMBER($U306),$U306*$J306*Assumptions!$B$4,"NA")</f>
        <v/>
      </c>
      <c r="Y306" s="9">
        <f>IF(ISNUMBER($V306),$V306*$J306*Assumptions!$B$4,"NA")</f>
        <v/>
      </c>
    </row>
    <row r="307">
      <c r="A307" s="5" t="inlineStr">
        <is>
          <t>SSB Unit</t>
        </is>
      </c>
      <c r="B307" s="11" t="inlineStr">
        <is>
          <t>Tanks and service modules</t>
        </is>
      </c>
      <c r="C307" s="5" t="inlineStr">
        <is>
          <t>Orica Singapore Private Ltd</t>
        </is>
      </c>
      <c r="D307" s="5" t="inlineStr">
        <is>
          <t>Contractor</t>
        </is>
      </c>
      <c r="E307" s="5" t="inlineStr">
        <is>
          <t>Singapore</t>
        </is>
      </c>
      <c r="F307" s="5" t="n">
        <v>2024</v>
      </c>
      <c r="G307" s="5" t="n">
        <v>1</v>
      </c>
      <c r="H307" s="7" t="n">
        <v>35433</v>
      </c>
      <c r="I307" s="5" t="inlineStr">
        <is>
          <t>USD</t>
        </is>
      </c>
      <c r="J307" s="8">
        <f>IF($I307="AUD",Assumptions!$B$2,Assumptions!$B$3)</f>
        <v/>
      </c>
      <c r="K307" s="9">
        <f>$G307*$H307*$J307</f>
        <v/>
      </c>
      <c r="L307" s="9">
        <f>$K307*Assumptions!$B$4</f>
        <v/>
      </c>
      <c r="M307" s="9">
        <f>RawTx[[#This Row],[Value USD]]/RawTx[[#This Row],[Quantity]]</f>
        <v/>
      </c>
      <c r="N307" s="9">
        <f>RawTx[[#This Row],[Value IDR]]/RawTx[[#This Row],[Quantity]]</f>
        <v/>
      </c>
      <c r="O307" s="4" t="inlineStr">
        <is>
          <t>CYANIDE SPARGE TANK; 25 KL PART NO: 101497-001, OA...</t>
        </is>
      </c>
      <c r="P307" s="5" t="inlineStr">
        <is>
          <t>NA</t>
        </is>
      </c>
      <c r="Q307" s="13" t="inlineStr">
        <is>
          <t>NA</t>
        </is>
      </c>
      <c r="R307" s="7" t="n">
        <v>5000</v>
      </c>
      <c r="S307" s="7">
        <f>IFERROR($R307/$G307,"")</f>
        <v/>
      </c>
      <c r="T307" s="7" t="inlineStr">
        <is>
          <t>NA</t>
        </is>
      </c>
      <c r="U307" s="7" t="inlineStr">
        <is>
          <t>NA</t>
        </is>
      </c>
      <c r="V307" s="7" t="inlineStr">
        <is>
          <t>NA</t>
        </is>
      </c>
      <c r="W307" s="9">
        <f>IF(ISNUMBER($T307),$T307*$J307*Assumptions!$B$4,"NA")</f>
        <v/>
      </c>
      <c r="X307" s="9">
        <f>IF(ISNUMBER($U307),$U307*$J307*Assumptions!$B$4,"NA")</f>
        <v/>
      </c>
      <c r="Y307" s="9">
        <f>IF(ISNUMBER($V307),$V307*$J307*Assumptions!$B$4,"NA")</f>
        <v/>
      </c>
    </row>
    <row r="308">
      <c r="A308" s="5" t="inlineStr">
        <is>
          <t>SSB Unit</t>
        </is>
      </c>
      <c r="B308" s="11" t="inlineStr">
        <is>
          <t>Tanks and service modules</t>
        </is>
      </c>
      <c r="C308" s="5" t="inlineStr">
        <is>
          <t>Orica Singapore Private Ltd</t>
        </is>
      </c>
      <c r="D308" s="5" t="inlineStr">
        <is>
          <t>Contractor</t>
        </is>
      </c>
      <c r="E308" s="5" t="inlineStr">
        <is>
          <t>Singapore</t>
        </is>
      </c>
      <c r="F308" s="5" t="n">
        <v>2024</v>
      </c>
      <c r="G308" s="5" t="n">
        <v>1</v>
      </c>
      <c r="H308" s="7" t="n">
        <v>35433</v>
      </c>
      <c r="I308" s="5" t="inlineStr">
        <is>
          <t>USD</t>
        </is>
      </c>
      <c r="J308" s="8">
        <f>IF($I308="AUD",Assumptions!$B$2,Assumptions!$B$3)</f>
        <v/>
      </c>
      <c r="K308" s="9">
        <f>$G308*$H308*$J308</f>
        <v/>
      </c>
      <c r="L308" s="9">
        <f>$K308*Assumptions!$B$4</f>
        <v/>
      </c>
      <c r="M308" s="9">
        <f>RawTx[[#This Row],[Value USD]]/RawTx[[#This Row],[Quantity]]</f>
        <v/>
      </c>
      <c r="N308" s="9">
        <f>RawTx[[#This Row],[Value IDR]]/RawTx[[#This Row],[Quantity]]</f>
        <v/>
      </c>
      <c r="O308" s="4" t="inlineStr">
        <is>
          <t>CYANIDE SPARGE TANK; 25 KL PART NO: 101498-001, OA...</t>
        </is>
      </c>
      <c r="P308" s="5" t="inlineStr">
        <is>
          <t>NA</t>
        </is>
      </c>
      <c r="Q308" s="13" t="inlineStr">
        <is>
          <t>NA</t>
        </is>
      </c>
      <c r="R308" s="7" t="n">
        <v>5000</v>
      </c>
      <c r="S308" s="7">
        <f>IFERROR($R308/$G308,"")</f>
        <v/>
      </c>
      <c r="T308" s="7" t="inlineStr">
        <is>
          <t>NA</t>
        </is>
      </c>
      <c r="U308" s="7" t="inlineStr">
        <is>
          <t>NA</t>
        </is>
      </c>
      <c r="V308" s="7" t="inlineStr">
        <is>
          <t>NA</t>
        </is>
      </c>
      <c r="W308" s="9">
        <f>IF(ISNUMBER($T308),$T308*$J308*Assumptions!$B$4,"NA")</f>
        <v/>
      </c>
      <c r="X308" s="9">
        <f>IF(ISNUMBER($U308),$U308*$J308*Assumptions!$B$4,"NA")</f>
        <v/>
      </c>
      <c r="Y308" s="9">
        <f>IF(ISNUMBER($V308),$V308*$J308*Assumptions!$B$4,"NA")</f>
        <v/>
      </c>
    </row>
    <row r="309">
      <c r="A309" s="5" t="inlineStr">
        <is>
          <t>SSB Unit</t>
        </is>
      </c>
      <c r="B309" s="11" t="inlineStr">
        <is>
          <t>Tanks and service modules</t>
        </is>
      </c>
      <c r="C309" s="5" t="inlineStr">
        <is>
          <t>Orica Malaysia Sdn Bhd</t>
        </is>
      </c>
      <c r="D309" s="5" t="inlineStr">
        <is>
          <t>Contractor</t>
        </is>
      </c>
      <c r="E309" s="5" t="inlineStr">
        <is>
          <t>Malaysia</t>
        </is>
      </c>
      <c r="F309" s="5" t="n">
        <v>2025</v>
      </c>
      <c r="G309" s="5" t="n">
        <v>1</v>
      </c>
      <c r="H309" s="7" t="n">
        <v>35433</v>
      </c>
      <c r="I309" s="5" t="inlineStr">
        <is>
          <t>USD</t>
        </is>
      </c>
      <c r="J309" s="8">
        <f>IF($I309="AUD",Assumptions!$B$2,Assumptions!$B$3)</f>
        <v/>
      </c>
      <c r="K309" s="9">
        <f>$G309*$H309*$J309</f>
        <v/>
      </c>
      <c r="L309" s="9">
        <f>$K309*Assumptions!$B$4</f>
        <v/>
      </c>
      <c r="M309" s="9">
        <f>RawTx[[#This Row],[Value USD]]/RawTx[[#This Row],[Quantity]]</f>
        <v/>
      </c>
      <c r="N309" s="9">
        <f>RawTx[[#This Row],[Value IDR]]/RawTx[[#This Row],[Quantity]]</f>
        <v/>
      </c>
      <c r="O309" s="4" t="inlineStr">
        <is>
          <t>CYANIDE SPARGE TANK; 25KL, OAYU114847[6]</t>
        </is>
      </c>
      <c r="P309" s="5" t="inlineStr">
        <is>
          <t>NA</t>
        </is>
      </c>
      <c r="Q309" s="13" t="inlineStr">
        <is>
          <t>NA</t>
        </is>
      </c>
      <c r="R309" s="7" t="n">
        <v>5590</v>
      </c>
      <c r="S309" s="7">
        <f>IFERROR($R309/$G309,"")</f>
        <v/>
      </c>
      <c r="T309" s="7" t="inlineStr">
        <is>
          <t>NA</t>
        </is>
      </c>
      <c r="U309" s="7" t="inlineStr">
        <is>
          <t>NA</t>
        </is>
      </c>
      <c r="V309" s="7" t="inlineStr">
        <is>
          <t>NA</t>
        </is>
      </c>
      <c r="W309" s="9">
        <f>IF(ISNUMBER($T309),$T309*$J309*Assumptions!$B$4,"NA")</f>
        <v/>
      </c>
      <c r="X309" s="9">
        <f>IF(ISNUMBER($U309),$U309*$J309*Assumptions!$B$4,"NA")</f>
        <v/>
      </c>
      <c r="Y309" s="9">
        <f>IF(ISNUMBER($V309),$V309*$J309*Assumptions!$B$4,"NA")</f>
        <v/>
      </c>
    </row>
    <row r="310">
      <c r="A310" s="5" t="inlineStr">
        <is>
          <t>SSB Unit</t>
        </is>
      </c>
      <c r="B310" s="11" t="inlineStr">
        <is>
          <t>Tanks and service modules</t>
        </is>
      </c>
      <c r="C310" s="5" t="inlineStr">
        <is>
          <t>Orica Malaysia Sdn Bhd</t>
        </is>
      </c>
      <c r="D310" s="5" t="inlineStr">
        <is>
          <t>Contractor</t>
        </is>
      </c>
      <c r="E310" s="5" t="inlineStr">
        <is>
          <t>Malaysia</t>
        </is>
      </c>
      <c r="F310" s="5" t="n">
        <v>2025</v>
      </c>
      <c r="G310" s="5" t="n">
        <v>1</v>
      </c>
      <c r="H310" s="7" t="n">
        <v>35433</v>
      </c>
      <c r="I310" s="5" t="inlineStr">
        <is>
          <t>USD</t>
        </is>
      </c>
      <c r="J310" s="8">
        <f>IF($I310="AUD",Assumptions!$B$2,Assumptions!$B$3)</f>
        <v/>
      </c>
      <c r="K310" s="9">
        <f>$G310*$H310*$J310</f>
        <v/>
      </c>
      <c r="L310" s="9">
        <f>$K310*Assumptions!$B$4</f>
        <v/>
      </c>
      <c r="M310" s="9">
        <f>RawTx[[#This Row],[Value USD]]/RawTx[[#This Row],[Quantity]]</f>
        <v/>
      </c>
      <c r="N310" s="9">
        <f>RawTx[[#This Row],[Value IDR]]/RawTx[[#This Row],[Quantity]]</f>
        <v/>
      </c>
      <c r="O310" s="4" t="inlineStr">
        <is>
          <t>CYANIDE SPARGE TANK; 25KL, OAYU114846[0]</t>
        </is>
      </c>
      <c r="P310" s="5" t="inlineStr">
        <is>
          <t>NA</t>
        </is>
      </c>
      <c r="Q310" s="13" t="inlineStr">
        <is>
          <t>NA</t>
        </is>
      </c>
      <c r="R310" s="7" t="n">
        <v>5590</v>
      </c>
      <c r="S310" s="7">
        <f>IFERROR($R310/$G310,"")</f>
        <v/>
      </c>
      <c r="T310" s="7" t="inlineStr">
        <is>
          <t>NA</t>
        </is>
      </c>
      <c r="U310" s="7" t="inlineStr">
        <is>
          <t>NA</t>
        </is>
      </c>
      <c r="V310" s="7" t="inlineStr">
        <is>
          <t>NA</t>
        </is>
      </c>
      <c r="W310" s="9">
        <f>IF(ISNUMBER($T310),$T310*$J310*Assumptions!$B$4,"NA")</f>
        <v/>
      </c>
      <c r="X310" s="9">
        <f>IF(ISNUMBER($U310),$U310*$J310*Assumptions!$B$4,"NA")</f>
        <v/>
      </c>
      <c r="Y310" s="9">
        <f>IF(ISNUMBER($V310),$V310*$J310*Assumptions!$B$4,"NA")</f>
        <v/>
      </c>
    </row>
    <row r="311">
      <c r="A311" s="5" t="inlineStr">
        <is>
          <t>SSB Unit</t>
        </is>
      </c>
      <c r="B311" s="11" t="inlineStr">
        <is>
          <t>Tanks and service modules</t>
        </is>
      </c>
      <c r="C311" s="5" t="inlineStr">
        <is>
          <t>Orica Malaysia Sdn Bhd</t>
        </is>
      </c>
      <c r="D311" s="5" t="inlineStr">
        <is>
          <t>Contractor</t>
        </is>
      </c>
      <c r="E311" s="5" t="inlineStr">
        <is>
          <t>Malaysia</t>
        </is>
      </c>
      <c r="F311" s="5" t="n">
        <v>2025</v>
      </c>
      <c r="G311" s="5" t="n">
        <v>1</v>
      </c>
      <c r="H311" s="7" t="n">
        <v>35433</v>
      </c>
      <c r="I311" s="5" t="inlineStr">
        <is>
          <t>USD</t>
        </is>
      </c>
      <c r="J311" s="8">
        <f>IF($I311="AUD",Assumptions!$B$2,Assumptions!$B$3)</f>
        <v/>
      </c>
      <c r="K311" s="9">
        <f>$G311*$H311*$J311</f>
        <v/>
      </c>
      <c r="L311" s="9">
        <f>$K311*Assumptions!$B$4</f>
        <v/>
      </c>
      <c r="M311" s="9">
        <f>RawTx[[#This Row],[Value USD]]/RawTx[[#This Row],[Quantity]]</f>
        <v/>
      </c>
      <c r="N311" s="9">
        <f>RawTx[[#This Row],[Value IDR]]/RawTx[[#This Row],[Quantity]]</f>
        <v/>
      </c>
      <c r="O311" s="4" t="inlineStr">
        <is>
          <t>CYANIDE SPARGE TANK; 25KL, OAYU114842[9]</t>
        </is>
      </c>
      <c r="P311" s="5" t="inlineStr">
        <is>
          <t>NA</t>
        </is>
      </c>
      <c r="Q311" s="13" t="inlineStr">
        <is>
          <t>NA</t>
        </is>
      </c>
      <c r="R311" s="7" t="n">
        <v>5530</v>
      </c>
      <c r="S311" s="7">
        <f>IFERROR($R311/$G311,"")</f>
        <v/>
      </c>
      <c r="T311" s="7" t="inlineStr">
        <is>
          <t>NA</t>
        </is>
      </c>
      <c r="U311" s="7" t="inlineStr">
        <is>
          <t>NA</t>
        </is>
      </c>
      <c r="V311" s="7" t="inlineStr">
        <is>
          <t>NA</t>
        </is>
      </c>
      <c r="W311" s="9">
        <f>IF(ISNUMBER($T311),$T311*$J311*Assumptions!$B$4,"NA")</f>
        <v/>
      </c>
      <c r="X311" s="9">
        <f>IF(ISNUMBER($U311),$U311*$J311*Assumptions!$B$4,"NA")</f>
        <v/>
      </c>
      <c r="Y311" s="9">
        <f>IF(ISNUMBER($V311),$V311*$J311*Assumptions!$B$4,"NA")</f>
        <v/>
      </c>
    </row>
    <row r="312">
      <c r="A312" s="5" t="inlineStr">
        <is>
          <t>SSB Unit</t>
        </is>
      </c>
      <c r="B312" s="11" t="inlineStr">
        <is>
          <t>Tanks and service modules</t>
        </is>
      </c>
      <c r="C312" s="5" t="inlineStr">
        <is>
          <t>Orica Malaysia Sdn Bhd</t>
        </is>
      </c>
      <c r="D312" s="5" t="inlineStr">
        <is>
          <t>Contractor</t>
        </is>
      </c>
      <c r="E312" s="5" t="inlineStr">
        <is>
          <t>Malaysia</t>
        </is>
      </c>
      <c r="F312" s="5" t="n">
        <v>2025</v>
      </c>
      <c r="G312" s="5" t="n">
        <v>1</v>
      </c>
      <c r="H312" s="7" t="n">
        <v>35433</v>
      </c>
      <c r="I312" s="5" t="inlineStr">
        <is>
          <t>USD</t>
        </is>
      </c>
      <c r="J312" s="8">
        <f>IF($I312="AUD",Assumptions!$B$2,Assumptions!$B$3)</f>
        <v/>
      </c>
      <c r="K312" s="9">
        <f>$G312*$H312*$J312</f>
        <v/>
      </c>
      <c r="L312" s="9">
        <f>$K312*Assumptions!$B$4</f>
        <v/>
      </c>
      <c r="M312" s="9">
        <f>RawTx[[#This Row],[Value USD]]/RawTx[[#This Row],[Quantity]]</f>
        <v/>
      </c>
      <c r="N312" s="9">
        <f>RawTx[[#This Row],[Value IDR]]/RawTx[[#This Row],[Quantity]]</f>
        <v/>
      </c>
      <c r="O312" s="4" t="inlineStr">
        <is>
          <t>CYANIDE SPARGE TANK; 25KL, OAYU114844[0]</t>
        </is>
      </c>
      <c r="P312" s="5" t="inlineStr">
        <is>
          <t>NA</t>
        </is>
      </c>
      <c r="Q312" s="13" t="inlineStr">
        <is>
          <t>NA</t>
        </is>
      </c>
      <c r="R312" s="7" t="n">
        <v>5520</v>
      </c>
      <c r="S312" s="7">
        <f>IFERROR($R312/$G312,"")</f>
        <v/>
      </c>
      <c r="T312" s="7" t="inlineStr">
        <is>
          <t>NA</t>
        </is>
      </c>
      <c r="U312" s="7" t="inlineStr">
        <is>
          <t>NA</t>
        </is>
      </c>
      <c r="V312" s="7" t="inlineStr">
        <is>
          <t>NA</t>
        </is>
      </c>
      <c r="W312" s="9">
        <f>IF(ISNUMBER($T312),$T312*$J312*Assumptions!$B$4,"NA")</f>
        <v/>
      </c>
      <c r="X312" s="9">
        <f>IF(ISNUMBER($U312),$U312*$J312*Assumptions!$B$4,"NA")</f>
        <v/>
      </c>
      <c r="Y312" s="9">
        <f>IF(ISNUMBER($V312),$V312*$J312*Assumptions!$B$4,"NA")</f>
        <v/>
      </c>
    </row>
    <row r="313">
      <c r="A313" s="5" t="inlineStr">
        <is>
          <t>SSB Unit</t>
        </is>
      </c>
      <c r="B313" s="11" t="inlineStr">
        <is>
          <t>Tanks and service modules</t>
        </is>
      </c>
      <c r="C313" s="5" t="inlineStr">
        <is>
          <t>Orica Malaysia Sdn Bhd</t>
        </is>
      </c>
      <c r="D313" s="5" t="inlineStr">
        <is>
          <t>Contractor</t>
        </is>
      </c>
      <c r="E313" s="5" t="inlineStr">
        <is>
          <t>Malaysia</t>
        </is>
      </c>
      <c r="F313" s="5" t="n">
        <v>2025</v>
      </c>
      <c r="G313" s="5" t="n">
        <v>1</v>
      </c>
      <c r="H313" s="7" t="n">
        <v>35433</v>
      </c>
      <c r="I313" s="5" t="inlineStr">
        <is>
          <t>USD</t>
        </is>
      </c>
      <c r="J313" s="8">
        <f>IF($I313="AUD",Assumptions!$B$2,Assumptions!$B$3)</f>
        <v/>
      </c>
      <c r="K313" s="9">
        <f>$G313*$H313*$J313</f>
        <v/>
      </c>
      <c r="L313" s="9">
        <f>$K313*Assumptions!$B$4</f>
        <v/>
      </c>
      <c r="M313" s="9">
        <f>RawTx[[#This Row],[Value USD]]/RawTx[[#This Row],[Quantity]]</f>
        <v/>
      </c>
      <c r="N313" s="9">
        <f>RawTx[[#This Row],[Value IDR]]/RawTx[[#This Row],[Quantity]]</f>
        <v/>
      </c>
      <c r="O313" s="4" t="inlineStr">
        <is>
          <t>CYANIDE SPARGE TANK; 25KL, OAYU114845[5]</t>
        </is>
      </c>
      <c r="P313" s="5" t="inlineStr">
        <is>
          <t>NA</t>
        </is>
      </c>
      <c r="Q313" s="13" t="inlineStr">
        <is>
          <t>NA</t>
        </is>
      </c>
      <c r="R313" s="7" t="n">
        <v>5440</v>
      </c>
      <c r="S313" s="7">
        <f>IFERROR($R313/$G313,"")</f>
        <v/>
      </c>
      <c r="T313" s="7" t="inlineStr">
        <is>
          <t>NA</t>
        </is>
      </c>
      <c r="U313" s="7" t="inlineStr">
        <is>
          <t>NA</t>
        </is>
      </c>
      <c r="V313" s="7" t="inlineStr">
        <is>
          <t>NA</t>
        </is>
      </c>
      <c r="W313" s="9">
        <f>IF(ISNUMBER($T313),$T313*$J313*Assumptions!$B$4,"NA")</f>
        <v/>
      </c>
      <c r="X313" s="9">
        <f>IF(ISNUMBER($U313),$U313*$J313*Assumptions!$B$4,"NA")</f>
        <v/>
      </c>
      <c r="Y313" s="9">
        <f>IF(ISNUMBER($V313),$V313*$J313*Assumptions!$B$4,"NA")</f>
        <v/>
      </c>
    </row>
    <row r="314">
      <c r="A314" s="5" t="inlineStr">
        <is>
          <t>SSB Unit</t>
        </is>
      </c>
      <c r="B314" s="11" t="inlineStr">
        <is>
          <t>Tanks and service modules</t>
        </is>
      </c>
      <c r="C314" s="5" t="inlineStr">
        <is>
          <t>Orica Malaysia Sdn Bhd</t>
        </is>
      </c>
      <c r="D314" s="5" t="inlineStr">
        <is>
          <t>Contractor</t>
        </is>
      </c>
      <c r="E314" s="5" t="inlineStr">
        <is>
          <t>Malaysia</t>
        </is>
      </c>
      <c r="F314" s="5" t="n">
        <v>2025</v>
      </c>
      <c r="G314" s="5" t="n">
        <v>1</v>
      </c>
      <c r="H314" s="7" t="n">
        <v>35433</v>
      </c>
      <c r="I314" s="5" t="inlineStr">
        <is>
          <t>USD</t>
        </is>
      </c>
      <c r="J314" s="8">
        <f>IF($I314="AUD",Assumptions!$B$2,Assumptions!$B$3)</f>
        <v/>
      </c>
      <c r="K314" s="9">
        <f>$G314*$H314*$J314</f>
        <v/>
      </c>
      <c r="L314" s="9">
        <f>$K314*Assumptions!$B$4</f>
        <v/>
      </c>
      <c r="M314" s="9">
        <f>RawTx[[#This Row],[Value USD]]/RawTx[[#This Row],[Quantity]]</f>
        <v/>
      </c>
      <c r="N314" s="9">
        <f>RawTx[[#This Row],[Value IDR]]/RawTx[[#This Row],[Quantity]]</f>
        <v/>
      </c>
      <c r="O314" s="4" t="inlineStr">
        <is>
          <t>CYANIDE SPARGE TANK; 25KL, OAYU114848[1]</t>
        </is>
      </c>
      <c r="P314" s="5" t="inlineStr">
        <is>
          <t>NA</t>
        </is>
      </c>
      <c r="Q314" s="13" t="inlineStr">
        <is>
          <t>NA</t>
        </is>
      </c>
      <c r="R314" s="7" t="n">
        <v>5430</v>
      </c>
      <c r="S314" s="7">
        <f>IFERROR($R314/$G314,"")</f>
        <v/>
      </c>
      <c r="T314" s="7" t="inlineStr">
        <is>
          <t>NA</t>
        </is>
      </c>
      <c r="U314" s="7" t="inlineStr">
        <is>
          <t>NA</t>
        </is>
      </c>
      <c r="V314" s="7" t="inlineStr">
        <is>
          <t>NA</t>
        </is>
      </c>
      <c r="W314" s="9">
        <f>IF(ISNUMBER($T314),$T314*$J314*Assumptions!$B$4,"NA")</f>
        <v/>
      </c>
      <c r="X314" s="9">
        <f>IF(ISNUMBER($U314),$U314*$J314*Assumptions!$B$4,"NA")</f>
        <v/>
      </c>
      <c r="Y314" s="9">
        <f>IF(ISNUMBER($V314),$V314*$J314*Assumptions!$B$4,"NA")</f>
        <v/>
      </c>
    </row>
    <row r="315">
      <c r="A315" s="5" t="inlineStr">
        <is>
          <t>SSB Unit</t>
        </is>
      </c>
      <c r="B315" s="11" t="inlineStr">
        <is>
          <t>Tanks and service modules</t>
        </is>
      </c>
      <c r="C315" s="5" t="inlineStr">
        <is>
          <t>Orica Malaysia Sdn Bhd</t>
        </is>
      </c>
      <c r="D315" s="5" t="inlineStr">
        <is>
          <t>Contractor</t>
        </is>
      </c>
      <c r="E315" s="5" t="inlineStr">
        <is>
          <t>Malaysia</t>
        </is>
      </c>
      <c r="F315" s="5" t="n">
        <v>2025</v>
      </c>
      <c r="G315" s="5" t="n">
        <v>1</v>
      </c>
      <c r="H315" s="7" t="n">
        <v>35433</v>
      </c>
      <c r="I315" s="5" t="inlineStr">
        <is>
          <t>USD</t>
        </is>
      </c>
      <c r="J315" s="8">
        <f>IF($I315="AUD",Assumptions!$B$2,Assumptions!$B$3)</f>
        <v/>
      </c>
      <c r="K315" s="9">
        <f>$G315*$H315*$J315</f>
        <v/>
      </c>
      <c r="L315" s="9">
        <f>$K315*Assumptions!$B$4</f>
        <v/>
      </c>
      <c r="M315" s="9">
        <f>RawTx[[#This Row],[Value USD]]/RawTx[[#This Row],[Quantity]]</f>
        <v/>
      </c>
      <c r="N315" s="9">
        <f>RawTx[[#This Row],[Value IDR]]/RawTx[[#This Row],[Quantity]]</f>
        <v/>
      </c>
      <c r="O315" s="4" t="inlineStr">
        <is>
          <t>CYANIDE SPARGE TANK; 25KL, OAYU114843[4]</t>
        </is>
      </c>
      <c r="P315" s="5" t="inlineStr">
        <is>
          <t>NA</t>
        </is>
      </c>
      <c r="Q315" s="13" t="inlineStr">
        <is>
          <t>NA</t>
        </is>
      </c>
      <c r="R315" s="7" t="n">
        <v>5470</v>
      </c>
      <c r="S315" s="7">
        <f>IFERROR($R315/$G315,"")</f>
        <v/>
      </c>
      <c r="T315" s="7" t="inlineStr">
        <is>
          <t>NA</t>
        </is>
      </c>
      <c r="U315" s="7" t="inlineStr">
        <is>
          <t>NA</t>
        </is>
      </c>
      <c r="V315" s="7" t="inlineStr">
        <is>
          <t>NA</t>
        </is>
      </c>
      <c r="W315" s="9">
        <f>IF(ISNUMBER($T315),$T315*$J315*Assumptions!$B$4,"NA")</f>
        <v/>
      </c>
      <c r="X315" s="9">
        <f>IF(ISNUMBER($U315),$U315*$J315*Assumptions!$B$4,"NA")</f>
        <v/>
      </c>
      <c r="Y315" s="9">
        <f>IF(ISNUMBER($V315),$V315*$J315*Assumptions!$B$4,"NA")</f>
        <v/>
      </c>
    </row>
    <row r="316">
      <c r="A316" s="5" t="inlineStr">
        <is>
          <t>SSB Unit</t>
        </is>
      </c>
      <c r="B316" s="11" t="inlineStr">
        <is>
          <t>Tanks and service modules</t>
        </is>
      </c>
      <c r="C316" s="5" t="inlineStr">
        <is>
          <t>Orica Malaysia Sdn Bhd</t>
        </is>
      </c>
      <c r="D316" s="5" t="inlineStr">
        <is>
          <t>Contractor</t>
        </is>
      </c>
      <c r="E316" s="5" t="inlineStr">
        <is>
          <t>Malaysia</t>
        </is>
      </c>
      <c r="F316" s="5" t="n">
        <v>2025</v>
      </c>
      <c r="G316" s="5" t="n">
        <v>1</v>
      </c>
      <c r="H316" s="7" t="n">
        <v>35433</v>
      </c>
      <c r="I316" s="5" t="inlineStr">
        <is>
          <t>USD</t>
        </is>
      </c>
      <c r="J316" s="8">
        <f>IF($I316="AUD",Assumptions!$B$2,Assumptions!$B$3)</f>
        <v/>
      </c>
      <c r="K316" s="9">
        <f>$G316*$H316*$J316</f>
        <v/>
      </c>
      <c r="L316" s="9">
        <f>$K316*Assumptions!$B$4</f>
        <v/>
      </c>
      <c r="M316" s="9">
        <f>RawTx[[#This Row],[Value USD]]/RawTx[[#This Row],[Quantity]]</f>
        <v/>
      </c>
      <c r="N316" s="9">
        <f>RawTx[[#This Row],[Value IDR]]/RawTx[[#This Row],[Quantity]]</f>
        <v/>
      </c>
      <c r="O316" s="4" t="inlineStr">
        <is>
          <t>CYANIDE SPARGE TANK; 25KL, OAYU114841[3]</t>
        </is>
      </c>
      <c r="P316" s="5" t="inlineStr">
        <is>
          <t>NA</t>
        </is>
      </c>
      <c r="Q316" s="13" t="inlineStr">
        <is>
          <t>NA</t>
        </is>
      </c>
      <c r="R316" s="7" t="n">
        <v>5370</v>
      </c>
      <c r="S316" s="7">
        <f>IFERROR($R316/$G316,"")</f>
        <v/>
      </c>
      <c r="T316" s="7" t="inlineStr">
        <is>
          <t>NA</t>
        </is>
      </c>
      <c r="U316" s="7" t="inlineStr">
        <is>
          <t>NA</t>
        </is>
      </c>
      <c r="V316" s="7" t="inlineStr">
        <is>
          <t>NA</t>
        </is>
      </c>
      <c r="W316" s="9">
        <f>IF(ISNUMBER($T316),$T316*$J316*Assumptions!$B$4,"NA")</f>
        <v/>
      </c>
      <c r="X316" s="9">
        <f>IF(ISNUMBER($U316),$U316*$J316*Assumptions!$B$4,"NA")</f>
        <v/>
      </c>
      <c r="Y316" s="9">
        <f>IF(ISNUMBER($V316),$V316*$J316*Assumptions!$B$4,"NA")</f>
        <v/>
      </c>
    </row>
    <row r="317">
      <c r="A317" s="5" t="inlineStr">
        <is>
          <t>SSB Unit</t>
        </is>
      </c>
      <c r="B317" s="11" t="inlineStr">
        <is>
          <t>Tanks and service modules</t>
        </is>
      </c>
      <c r="C317" s="5" t="inlineStr">
        <is>
          <t>Orica Malaysia Sdn Bhd</t>
        </is>
      </c>
      <c r="D317" s="5" t="inlineStr">
        <is>
          <t>Contractor</t>
        </is>
      </c>
      <c r="E317" s="5" t="inlineStr">
        <is>
          <t>Malaysia</t>
        </is>
      </c>
      <c r="F317" s="5" t="n">
        <v>2025</v>
      </c>
      <c r="G317" s="5" t="n">
        <v>1</v>
      </c>
      <c r="H317" s="7" t="n">
        <v>35433</v>
      </c>
      <c r="I317" s="5" t="inlineStr">
        <is>
          <t>USD</t>
        </is>
      </c>
      <c r="J317" s="8">
        <f>IF($I317="AUD",Assumptions!$B$2,Assumptions!$B$3)</f>
        <v/>
      </c>
      <c r="K317" s="9">
        <f>$G317*$H317*$J317</f>
        <v/>
      </c>
      <c r="L317" s="9">
        <f>$K317*Assumptions!$B$4</f>
        <v/>
      </c>
      <c r="M317" s="9">
        <f>RawTx[[#This Row],[Value USD]]/RawTx[[#This Row],[Quantity]]</f>
        <v/>
      </c>
      <c r="N317" s="9">
        <f>RawTx[[#This Row],[Value IDR]]/RawTx[[#This Row],[Quantity]]</f>
        <v/>
      </c>
      <c r="O317" s="4" t="inlineStr">
        <is>
          <t>CYANIDE SPARGE TANK; 25KL, OAYU114840(8)</t>
        </is>
      </c>
      <c r="P317" s="5" t="inlineStr">
        <is>
          <t>NA</t>
        </is>
      </c>
      <c r="Q317" s="13" t="inlineStr">
        <is>
          <t>NA</t>
        </is>
      </c>
      <c r="R317" s="7" t="n">
        <v>5620</v>
      </c>
      <c r="S317" s="7">
        <f>IFERROR($R317/$G317,"")</f>
        <v/>
      </c>
      <c r="T317" s="7" t="inlineStr">
        <is>
          <t>NA</t>
        </is>
      </c>
      <c r="U317" s="7" t="inlineStr">
        <is>
          <t>NA</t>
        </is>
      </c>
      <c r="V317" s="7" t="inlineStr">
        <is>
          <t>NA</t>
        </is>
      </c>
      <c r="W317" s="9">
        <f>IF(ISNUMBER($T317),$T317*$J317*Assumptions!$B$4,"NA")</f>
        <v/>
      </c>
      <c r="X317" s="9">
        <f>IF(ISNUMBER($U317),$U317*$J317*Assumptions!$B$4,"NA")</f>
        <v/>
      </c>
      <c r="Y317" s="9">
        <f>IF(ISNUMBER($V317),$V317*$J317*Assumptions!$B$4,"NA")</f>
        <v/>
      </c>
    </row>
    <row r="318">
      <c r="A318" s="5" t="inlineStr">
        <is>
          <t>SSB Unit</t>
        </is>
      </c>
      <c r="B318" s="11" t="inlineStr">
        <is>
          <t>Tanks and service modules</t>
        </is>
      </c>
      <c r="C318" s="5" t="inlineStr">
        <is>
          <t>Orica Malaysia Sdn Bhd</t>
        </is>
      </c>
      <c r="D318" s="5" t="inlineStr">
        <is>
          <t>Contractor</t>
        </is>
      </c>
      <c r="E318" s="5" t="inlineStr">
        <is>
          <t>Malaysia</t>
        </is>
      </c>
      <c r="F318" s="5" t="n">
        <v>2025</v>
      </c>
      <c r="G318" s="5" t="n">
        <v>1</v>
      </c>
      <c r="H318" s="7" t="n">
        <v>35433</v>
      </c>
      <c r="I318" s="5" t="inlineStr">
        <is>
          <t>USD</t>
        </is>
      </c>
      <c r="J318" s="8">
        <f>IF($I318="AUD",Assumptions!$B$2,Assumptions!$B$3)</f>
        <v/>
      </c>
      <c r="K318" s="9">
        <f>$G318*$H318*$J318</f>
        <v/>
      </c>
      <c r="L318" s="9">
        <f>$K318*Assumptions!$B$4</f>
        <v/>
      </c>
      <c r="M318" s="9">
        <f>RawTx[[#This Row],[Value USD]]/RawTx[[#This Row],[Quantity]]</f>
        <v/>
      </c>
      <c r="N318" s="9">
        <f>RawTx[[#This Row],[Value IDR]]/RawTx[[#This Row],[Quantity]]</f>
        <v/>
      </c>
      <c r="O318" s="4" t="inlineStr">
        <is>
          <t>CYANIDE SPARGE TANK; 25KL, OAYU114837(3)</t>
        </is>
      </c>
      <c r="P318" s="5" t="inlineStr">
        <is>
          <t>NA</t>
        </is>
      </c>
      <c r="Q318" s="13" t="inlineStr">
        <is>
          <t>NA</t>
        </is>
      </c>
      <c r="R318" s="7" t="n">
        <v>5370</v>
      </c>
      <c r="S318" s="7">
        <f>IFERROR($R318/$G318,"")</f>
        <v/>
      </c>
      <c r="T318" s="7" t="inlineStr">
        <is>
          <t>NA</t>
        </is>
      </c>
      <c r="U318" s="7" t="inlineStr">
        <is>
          <t>NA</t>
        </is>
      </c>
      <c r="V318" s="7" t="inlineStr">
        <is>
          <t>NA</t>
        </is>
      </c>
      <c r="W318" s="9">
        <f>IF(ISNUMBER($T318),$T318*$J318*Assumptions!$B$4,"NA")</f>
        <v/>
      </c>
      <c r="X318" s="9">
        <f>IF(ISNUMBER($U318),$U318*$J318*Assumptions!$B$4,"NA")</f>
        <v/>
      </c>
      <c r="Y318" s="9">
        <f>IF(ISNUMBER($V318),$V318*$J318*Assumptions!$B$4,"NA")</f>
        <v/>
      </c>
    </row>
    <row r="319">
      <c r="A319" s="5" t="inlineStr">
        <is>
          <t>SSB Unit</t>
        </is>
      </c>
      <c r="B319" s="11" t="inlineStr">
        <is>
          <t>Tanks and service modules</t>
        </is>
      </c>
      <c r="C319" s="5" t="inlineStr">
        <is>
          <t>Orica Malaysia Sdn Bhd</t>
        </is>
      </c>
      <c r="D319" s="5" t="inlineStr">
        <is>
          <t>Contractor</t>
        </is>
      </c>
      <c r="E319" s="5" t="inlineStr">
        <is>
          <t>Malaysia</t>
        </is>
      </c>
      <c r="F319" s="5" t="n">
        <v>2025</v>
      </c>
      <c r="G319" s="5" t="n">
        <v>1</v>
      </c>
      <c r="H319" s="7" t="n">
        <v>35433</v>
      </c>
      <c r="I319" s="5" t="inlineStr">
        <is>
          <t>USD</t>
        </is>
      </c>
      <c r="J319" s="8">
        <f>IF($I319="AUD",Assumptions!$B$2,Assumptions!$B$3)</f>
        <v/>
      </c>
      <c r="K319" s="9">
        <f>$G319*$H319*$J319</f>
        <v/>
      </c>
      <c r="L319" s="9">
        <f>$K319*Assumptions!$B$4</f>
        <v/>
      </c>
      <c r="M319" s="9">
        <f>RawTx[[#This Row],[Value USD]]/RawTx[[#This Row],[Quantity]]</f>
        <v/>
      </c>
      <c r="N319" s="9">
        <f>RawTx[[#This Row],[Value IDR]]/RawTx[[#This Row],[Quantity]]</f>
        <v/>
      </c>
      <c r="O319" s="4" t="inlineStr">
        <is>
          <t>CYANIDE SPARGE TANK; 25KL, OAYU114839(4)</t>
        </is>
      </c>
      <c r="P319" s="5" t="inlineStr">
        <is>
          <t>NA</t>
        </is>
      </c>
      <c r="Q319" s="13" t="inlineStr">
        <is>
          <t>NA</t>
        </is>
      </c>
      <c r="R319" s="7" t="n">
        <v>5580</v>
      </c>
      <c r="S319" s="7">
        <f>IFERROR($R319/$G319,"")</f>
        <v/>
      </c>
      <c r="T319" s="7" t="inlineStr">
        <is>
          <t>NA</t>
        </is>
      </c>
      <c r="U319" s="7" t="inlineStr">
        <is>
          <t>NA</t>
        </is>
      </c>
      <c r="V319" s="7" t="inlineStr">
        <is>
          <t>NA</t>
        </is>
      </c>
      <c r="W319" s="9">
        <f>IF(ISNUMBER($T319),$T319*$J319*Assumptions!$B$4,"NA")</f>
        <v/>
      </c>
      <c r="X319" s="9">
        <f>IF(ISNUMBER($U319),$U319*$J319*Assumptions!$B$4,"NA")</f>
        <v/>
      </c>
      <c r="Y319" s="9">
        <f>IF(ISNUMBER($V319),$V319*$J319*Assumptions!$B$4,"NA")</f>
        <v/>
      </c>
    </row>
    <row r="320">
      <c r="A320" s="5" t="inlineStr">
        <is>
          <t>SSB Unit</t>
        </is>
      </c>
      <c r="B320" s="11" t="inlineStr">
        <is>
          <t>Tanks and service modules</t>
        </is>
      </c>
      <c r="C320" s="5" t="inlineStr">
        <is>
          <t>Orica Malaysia Sdn Bhd</t>
        </is>
      </c>
      <c r="D320" s="5" t="inlineStr">
        <is>
          <t>Contractor</t>
        </is>
      </c>
      <c r="E320" s="5" t="inlineStr">
        <is>
          <t>Malaysia</t>
        </is>
      </c>
      <c r="F320" s="5" t="n">
        <v>2025</v>
      </c>
      <c r="G320" s="5" t="n">
        <v>1</v>
      </c>
      <c r="H320" s="7" t="n">
        <v>35433</v>
      </c>
      <c r="I320" s="5" t="inlineStr">
        <is>
          <t>USD</t>
        </is>
      </c>
      <c r="J320" s="8">
        <f>IF($I320="AUD",Assumptions!$B$2,Assumptions!$B$3)</f>
        <v/>
      </c>
      <c r="K320" s="9">
        <f>$G320*$H320*$J320</f>
        <v/>
      </c>
      <c r="L320" s="9">
        <f>$K320*Assumptions!$B$4</f>
        <v/>
      </c>
      <c r="M320" s="9">
        <f>RawTx[[#This Row],[Value USD]]/RawTx[[#This Row],[Quantity]]</f>
        <v/>
      </c>
      <c r="N320" s="9">
        <f>RawTx[[#This Row],[Value IDR]]/RawTx[[#This Row],[Quantity]]</f>
        <v/>
      </c>
      <c r="O320" s="4" t="inlineStr">
        <is>
          <t>CYANIDE SPARGE TANK; 25KL, OAYU114838(9)</t>
        </is>
      </c>
      <c r="P320" s="5" t="inlineStr">
        <is>
          <t>NA</t>
        </is>
      </c>
      <c r="Q320" s="13" t="inlineStr">
        <is>
          <t>NA</t>
        </is>
      </c>
      <c r="R320" s="7" t="n">
        <v>5610</v>
      </c>
      <c r="S320" s="7">
        <f>IFERROR($R320/$G320,"")</f>
        <v/>
      </c>
      <c r="T320" s="7" t="inlineStr">
        <is>
          <t>NA</t>
        </is>
      </c>
      <c r="U320" s="7" t="inlineStr">
        <is>
          <t>NA</t>
        </is>
      </c>
      <c r="V320" s="7" t="inlineStr">
        <is>
          <t>NA</t>
        </is>
      </c>
      <c r="W320" s="9">
        <f>IF(ISNUMBER($T320),$T320*$J320*Assumptions!$B$4,"NA")</f>
        <v/>
      </c>
      <c r="X320" s="9">
        <f>IF(ISNUMBER($U320),$U320*$J320*Assumptions!$B$4,"NA")</f>
        <v/>
      </c>
      <c r="Y320" s="9">
        <f>IF(ISNUMBER($V320),$V320*$J320*Assumptions!$B$4,"NA")</f>
        <v/>
      </c>
    </row>
    <row r="321">
      <c r="A321" s="5" t="inlineStr">
        <is>
          <t>SSB Unit</t>
        </is>
      </c>
      <c r="B321" s="11" t="inlineStr">
        <is>
          <t>Tanks and service modules</t>
        </is>
      </c>
      <c r="C321" s="5" t="inlineStr">
        <is>
          <t>Orica Malaysia Sdn Bhd</t>
        </is>
      </c>
      <c r="D321" s="5" t="inlineStr">
        <is>
          <t>Contractor</t>
        </is>
      </c>
      <c r="E321" s="5" t="inlineStr">
        <is>
          <t>Malaysia</t>
        </is>
      </c>
      <c r="F321" s="5" t="n">
        <v>2025</v>
      </c>
      <c r="G321" s="5" t="n">
        <v>1</v>
      </c>
      <c r="H321" s="7" t="n">
        <v>35433</v>
      </c>
      <c r="I321" s="5" t="inlineStr">
        <is>
          <t>USD</t>
        </is>
      </c>
      <c r="J321" s="8">
        <f>IF($I321="AUD",Assumptions!$B$2,Assumptions!$B$3)</f>
        <v/>
      </c>
      <c r="K321" s="9">
        <f>$G321*$H321*$J321</f>
        <v/>
      </c>
      <c r="L321" s="9">
        <f>$K321*Assumptions!$B$4</f>
        <v/>
      </c>
      <c r="M321" s="9">
        <f>RawTx[[#This Row],[Value USD]]/RawTx[[#This Row],[Quantity]]</f>
        <v/>
      </c>
      <c r="N321" s="9">
        <f>RawTx[[#This Row],[Value IDR]]/RawTx[[#This Row],[Quantity]]</f>
        <v/>
      </c>
      <c r="O321" s="4" t="inlineStr">
        <is>
          <t>CYANIDE SPARGE TANK; 25KL, OAYU114836(8)</t>
        </is>
      </c>
      <c r="P321" s="5" t="inlineStr">
        <is>
          <t>NA</t>
        </is>
      </c>
      <c r="Q321" s="13" t="inlineStr">
        <is>
          <t>NA</t>
        </is>
      </c>
      <c r="R321" s="7" t="n">
        <v>5460</v>
      </c>
      <c r="S321" s="7">
        <f>IFERROR($R321/$G321,"")</f>
        <v/>
      </c>
      <c r="T321" s="7" t="inlineStr">
        <is>
          <t>NA</t>
        </is>
      </c>
      <c r="U321" s="7" t="inlineStr">
        <is>
          <t>NA</t>
        </is>
      </c>
      <c r="V321" s="7" t="inlineStr">
        <is>
          <t>NA</t>
        </is>
      </c>
      <c r="W321" s="9">
        <f>IF(ISNUMBER($T321),$T321*$J321*Assumptions!$B$4,"NA")</f>
        <v/>
      </c>
      <c r="X321" s="9">
        <f>IF(ISNUMBER($U321),$U321*$J321*Assumptions!$B$4,"NA")</f>
        <v/>
      </c>
      <c r="Y321" s="9">
        <f>IF(ISNUMBER($V321),$V321*$J321*Assumptions!$B$4,"NA")</f>
        <v/>
      </c>
    </row>
    <row r="322">
      <c r="A322" s="5" t="inlineStr">
        <is>
          <t>SSB Unit</t>
        </is>
      </c>
      <c r="B322" s="11" t="inlineStr">
        <is>
          <t>Tanks and service modules</t>
        </is>
      </c>
      <c r="C322" s="5" t="inlineStr">
        <is>
          <t>Orica Malaysia Sdn Bhd</t>
        </is>
      </c>
      <c r="D322" s="5" t="inlineStr">
        <is>
          <t>Contractor</t>
        </is>
      </c>
      <c r="E322" s="5" t="inlineStr">
        <is>
          <t>Malaysia</t>
        </is>
      </c>
      <c r="F322" s="5" t="n">
        <v>2025</v>
      </c>
      <c r="G322" s="5" t="n">
        <v>1</v>
      </c>
      <c r="H322" s="7" t="n">
        <v>35433</v>
      </c>
      <c r="I322" s="5" t="inlineStr">
        <is>
          <t>USD</t>
        </is>
      </c>
      <c r="J322" s="8">
        <f>IF($I322="AUD",Assumptions!$B$2,Assumptions!$B$3)</f>
        <v/>
      </c>
      <c r="K322" s="9">
        <f>$G322*$H322*$J322</f>
        <v/>
      </c>
      <c r="L322" s="9">
        <f>$K322*Assumptions!$B$4</f>
        <v/>
      </c>
      <c r="M322" s="9">
        <f>RawTx[[#This Row],[Value USD]]/RawTx[[#This Row],[Quantity]]</f>
        <v/>
      </c>
      <c r="N322" s="9">
        <f>RawTx[[#This Row],[Value IDR]]/RawTx[[#This Row],[Quantity]]</f>
        <v/>
      </c>
      <c r="O322" s="4" t="inlineStr">
        <is>
          <t>CYANIDE SPARGE TANK; 25KL PART NO: 101515-001, OA</t>
        </is>
      </c>
      <c r="P322" s="5" t="inlineStr">
        <is>
          <t>NA</t>
        </is>
      </c>
      <c r="Q322" s="13" t="inlineStr">
        <is>
          <t>NA</t>
        </is>
      </c>
      <c r="R322" s="7" t="n">
        <v>5370</v>
      </c>
      <c r="S322" s="7">
        <f>IFERROR($R322/$G322,"")</f>
        <v/>
      </c>
      <c r="T322" s="7" t="inlineStr">
        <is>
          <t>NA</t>
        </is>
      </c>
      <c r="U322" s="7" t="inlineStr">
        <is>
          <t>NA</t>
        </is>
      </c>
      <c r="V322" s="7" t="inlineStr">
        <is>
          <t>NA</t>
        </is>
      </c>
      <c r="W322" s="9">
        <f>IF(ISNUMBER($T322),$T322*$J322*Assumptions!$B$4,"NA")</f>
        <v/>
      </c>
      <c r="X322" s="9">
        <f>IF(ISNUMBER($U322),$U322*$J322*Assumptions!$B$4,"NA")</f>
        <v/>
      </c>
      <c r="Y322" s="9">
        <f>IF(ISNUMBER($V322),$V322*$J322*Assumptions!$B$4,"NA")</f>
        <v/>
      </c>
    </row>
    <row r="323">
      <c r="A323" s="5" t="inlineStr">
        <is>
          <t>SSB Unit</t>
        </is>
      </c>
      <c r="B323" s="11" t="inlineStr">
        <is>
          <t>Tanks and service modules</t>
        </is>
      </c>
      <c r="C323" s="5" t="inlineStr">
        <is>
          <t>Orica Malaysia Sdn Bhd</t>
        </is>
      </c>
      <c r="D323" s="5" t="inlineStr">
        <is>
          <t>Contractor</t>
        </is>
      </c>
      <c r="E323" s="5" t="inlineStr">
        <is>
          <t>Malaysia</t>
        </is>
      </c>
      <c r="F323" s="5" t="n">
        <v>2025</v>
      </c>
      <c r="G323" s="5" t="n">
        <v>1</v>
      </c>
      <c r="H323" s="7" t="n">
        <v>35433</v>
      </c>
      <c r="I323" s="5" t="inlineStr">
        <is>
          <t>USD</t>
        </is>
      </c>
      <c r="J323" s="8">
        <f>IF($I323="AUD",Assumptions!$B$2,Assumptions!$B$3)</f>
        <v/>
      </c>
      <c r="K323" s="9">
        <f>$G323*$H323*$J323</f>
        <v/>
      </c>
      <c r="L323" s="9">
        <f>$K323*Assumptions!$B$4</f>
        <v/>
      </c>
      <c r="M323" s="9">
        <f>RawTx[[#This Row],[Value USD]]/RawTx[[#This Row],[Quantity]]</f>
        <v/>
      </c>
      <c r="N323" s="9">
        <f>RawTx[[#This Row],[Value IDR]]/RawTx[[#This Row],[Quantity]]</f>
        <v/>
      </c>
      <c r="O323" s="4" t="inlineStr">
        <is>
          <t>CYANIDE SPARGE TANK; 25KL PART NO: 101517-001, OA</t>
        </is>
      </c>
      <c r="P323" s="5" t="inlineStr">
        <is>
          <t>NA</t>
        </is>
      </c>
      <c r="Q323" s="13" t="inlineStr">
        <is>
          <t>NA</t>
        </is>
      </c>
      <c r="R323" s="7" t="n">
        <v>5430</v>
      </c>
      <c r="S323" s="7">
        <f>IFERROR($R323/$G323,"")</f>
        <v/>
      </c>
      <c r="T323" s="7" t="inlineStr">
        <is>
          <t>NA</t>
        </is>
      </c>
      <c r="U323" s="7" t="inlineStr">
        <is>
          <t>NA</t>
        </is>
      </c>
      <c r="V323" s="7" t="inlineStr">
        <is>
          <t>NA</t>
        </is>
      </c>
      <c r="W323" s="9">
        <f>IF(ISNUMBER($T323),$T323*$J323*Assumptions!$B$4,"NA")</f>
        <v/>
      </c>
      <c r="X323" s="9">
        <f>IF(ISNUMBER($U323),$U323*$J323*Assumptions!$B$4,"NA")</f>
        <v/>
      </c>
      <c r="Y323" s="9">
        <f>IF(ISNUMBER($V323),$V323*$J323*Assumptions!$B$4,"NA")</f>
        <v/>
      </c>
    </row>
    <row r="324">
      <c r="A324" s="5" t="inlineStr">
        <is>
          <t>SSB Unit</t>
        </is>
      </c>
      <c r="B324" s="11" t="inlineStr">
        <is>
          <t>Tanks and service modules</t>
        </is>
      </c>
      <c r="C324" s="5" t="inlineStr">
        <is>
          <t>Orica Malaysia Sdn Bhd</t>
        </is>
      </c>
      <c r="D324" s="5" t="inlineStr">
        <is>
          <t>Contractor</t>
        </is>
      </c>
      <c r="E324" s="5" t="inlineStr">
        <is>
          <t>Malaysia</t>
        </is>
      </c>
      <c r="F324" s="5" t="n">
        <v>2025</v>
      </c>
      <c r="G324" s="5" t="n">
        <v>1</v>
      </c>
      <c r="H324" s="7" t="n">
        <v>35433</v>
      </c>
      <c r="I324" s="5" t="inlineStr">
        <is>
          <t>USD</t>
        </is>
      </c>
      <c r="J324" s="8">
        <f>IF($I324="AUD",Assumptions!$B$2,Assumptions!$B$3)</f>
        <v/>
      </c>
      <c r="K324" s="9">
        <f>$G324*$H324*$J324</f>
        <v/>
      </c>
      <c r="L324" s="9">
        <f>$K324*Assumptions!$B$4</f>
        <v/>
      </c>
      <c r="M324" s="9">
        <f>RawTx[[#This Row],[Value USD]]/RawTx[[#This Row],[Quantity]]</f>
        <v/>
      </c>
      <c r="N324" s="9">
        <f>RawTx[[#This Row],[Value IDR]]/RawTx[[#This Row],[Quantity]]</f>
        <v/>
      </c>
      <c r="O324" s="4" t="inlineStr">
        <is>
          <t>CYANIDE SPARGE TANK; 25KL PART NO: 101521-001, OA</t>
        </is>
      </c>
      <c r="P324" s="5" t="inlineStr">
        <is>
          <t>NA</t>
        </is>
      </c>
      <c r="Q324" s="13" t="inlineStr">
        <is>
          <t>NA</t>
        </is>
      </c>
      <c r="R324" s="7" t="n">
        <v>5610</v>
      </c>
      <c r="S324" s="7">
        <f>IFERROR($R324/$G324,"")</f>
        <v/>
      </c>
      <c r="T324" s="7" t="inlineStr">
        <is>
          <t>NA</t>
        </is>
      </c>
      <c r="U324" s="7" t="inlineStr">
        <is>
          <t>NA</t>
        </is>
      </c>
      <c r="V324" s="7" t="inlineStr">
        <is>
          <t>NA</t>
        </is>
      </c>
      <c r="W324" s="9">
        <f>IF(ISNUMBER($T324),$T324*$J324*Assumptions!$B$4,"NA")</f>
        <v/>
      </c>
      <c r="X324" s="9">
        <f>IF(ISNUMBER($U324),$U324*$J324*Assumptions!$B$4,"NA")</f>
        <v/>
      </c>
      <c r="Y324" s="9">
        <f>IF(ISNUMBER($V324),$V324*$J324*Assumptions!$B$4,"NA")</f>
        <v/>
      </c>
    </row>
    <row r="325">
      <c r="A325" s="5" t="inlineStr">
        <is>
          <t>SSB Unit</t>
        </is>
      </c>
      <c r="B325" s="11" t="inlineStr">
        <is>
          <t>Tanks and service modules</t>
        </is>
      </c>
      <c r="C325" s="5" t="inlineStr">
        <is>
          <t>Orica Malaysia Sdn Bhd</t>
        </is>
      </c>
      <c r="D325" s="5" t="inlineStr">
        <is>
          <t>Contractor</t>
        </is>
      </c>
      <c r="E325" s="5" t="inlineStr">
        <is>
          <t>Malaysia</t>
        </is>
      </c>
      <c r="F325" s="5" t="n">
        <v>2025</v>
      </c>
      <c r="G325" s="5" t="n">
        <v>1</v>
      </c>
      <c r="H325" s="7" t="n">
        <v>35433</v>
      </c>
      <c r="I325" s="5" t="inlineStr">
        <is>
          <t>USD</t>
        </is>
      </c>
      <c r="J325" s="8">
        <f>IF($I325="AUD",Assumptions!$B$2,Assumptions!$B$3)</f>
        <v/>
      </c>
      <c r="K325" s="9">
        <f>$G325*$H325*$J325</f>
        <v/>
      </c>
      <c r="L325" s="9">
        <f>$K325*Assumptions!$B$4</f>
        <v/>
      </c>
      <c r="M325" s="9">
        <f>RawTx[[#This Row],[Value USD]]/RawTx[[#This Row],[Quantity]]</f>
        <v/>
      </c>
      <c r="N325" s="9">
        <f>RawTx[[#This Row],[Value IDR]]/RawTx[[#This Row],[Quantity]]</f>
        <v/>
      </c>
      <c r="O325" s="4" t="inlineStr">
        <is>
          <t>CYANIDE SPARGE TANK; 25KL PART NO: 101519-001, OA</t>
        </is>
      </c>
      <c r="P325" s="5" t="inlineStr">
        <is>
          <t>NA</t>
        </is>
      </c>
      <c r="Q325" s="13" t="inlineStr">
        <is>
          <t>NA</t>
        </is>
      </c>
      <c r="R325" s="7" t="n">
        <v>5760</v>
      </c>
      <c r="S325" s="7">
        <f>IFERROR($R325/$G325,"")</f>
        <v/>
      </c>
      <c r="T325" s="7" t="inlineStr">
        <is>
          <t>NA</t>
        </is>
      </c>
      <c r="U325" s="7" t="inlineStr">
        <is>
          <t>NA</t>
        </is>
      </c>
      <c r="V325" s="7" t="inlineStr">
        <is>
          <t>NA</t>
        </is>
      </c>
      <c r="W325" s="9">
        <f>IF(ISNUMBER($T325),$T325*$J325*Assumptions!$B$4,"NA")</f>
        <v/>
      </c>
      <c r="X325" s="9">
        <f>IF(ISNUMBER($U325),$U325*$J325*Assumptions!$B$4,"NA")</f>
        <v/>
      </c>
      <c r="Y325" s="9">
        <f>IF(ISNUMBER($V325),$V325*$J325*Assumptions!$B$4,"NA")</f>
        <v/>
      </c>
    </row>
    <row r="326">
      <c r="A326" s="5" t="inlineStr">
        <is>
          <t>SSB Unit</t>
        </is>
      </c>
      <c r="B326" s="11" t="inlineStr">
        <is>
          <t>Tanks and service modules</t>
        </is>
      </c>
      <c r="C326" s="5" t="inlineStr">
        <is>
          <t>Orica Malaysia Sdn Bhd</t>
        </is>
      </c>
      <c r="D326" s="5" t="inlineStr">
        <is>
          <t>Contractor</t>
        </is>
      </c>
      <c r="E326" s="5" t="inlineStr">
        <is>
          <t>Malaysia</t>
        </is>
      </c>
      <c r="F326" s="5" t="n">
        <v>2025</v>
      </c>
      <c r="G326" s="5" t="n">
        <v>1</v>
      </c>
      <c r="H326" s="7" t="n">
        <v>35433</v>
      </c>
      <c r="I326" s="5" t="inlineStr">
        <is>
          <t>USD</t>
        </is>
      </c>
      <c r="J326" s="8">
        <f>IF($I326="AUD",Assumptions!$B$2,Assumptions!$B$3)</f>
        <v/>
      </c>
      <c r="K326" s="9">
        <f>$G326*$H326*$J326</f>
        <v/>
      </c>
      <c r="L326" s="9">
        <f>$K326*Assumptions!$B$4</f>
        <v/>
      </c>
      <c r="M326" s="9">
        <f>RawTx[[#This Row],[Value USD]]/RawTx[[#This Row],[Quantity]]</f>
        <v/>
      </c>
      <c r="N326" s="9">
        <f>RawTx[[#This Row],[Value IDR]]/RawTx[[#This Row],[Quantity]]</f>
        <v/>
      </c>
      <c r="O326" s="4" t="inlineStr">
        <is>
          <t>CYANIDE SPARGE TANK; 25KL PART NO: 101518-001, OA</t>
        </is>
      </c>
      <c r="P326" s="5" t="inlineStr">
        <is>
          <t>NA</t>
        </is>
      </c>
      <c r="Q326" s="13" t="inlineStr">
        <is>
          <t>NA</t>
        </is>
      </c>
      <c r="R326" s="7" t="n">
        <v>5550</v>
      </c>
      <c r="S326" s="7">
        <f>IFERROR($R326/$G326,"")</f>
        <v/>
      </c>
      <c r="T326" s="7" t="inlineStr">
        <is>
          <t>NA</t>
        </is>
      </c>
      <c r="U326" s="7" t="inlineStr">
        <is>
          <t>NA</t>
        </is>
      </c>
      <c r="V326" s="7" t="inlineStr">
        <is>
          <t>NA</t>
        </is>
      </c>
      <c r="W326" s="9">
        <f>IF(ISNUMBER($T326),$T326*$J326*Assumptions!$B$4,"NA")</f>
        <v/>
      </c>
      <c r="X326" s="9">
        <f>IF(ISNUMBER($U326),$U326*$J326*Assumptions!$B$4,"NA")</f>
        <v/>
      </c>
      <c r="Y326" s="9">
        <f>IF(ISNUMBER($V326),$V326*$J326*Assumptions!$B$4,"NA")</f>
        <v/>
      </c>
    </row>
    <row r="327">
      <c r="A327" s="5" t="inlineStr">
        <is>
          <t>SSB Unit</t>
        </is>
      </c>
      <c r="B327" s="11" t="inlineStr">
        <is>
          <t>Tanks and service modules</t>
        </is>
      </c>
      <c r="C327" s="5" t="inlineStr">
        <is>
          <t>Orica Malaysia Sdn Bhd</t>
        </is>
      </c>
      <c r="D327" s="5" t="inlineStr">
        <is>
          <t>Contractor</t>
        </is>
      </c>
      <c r="E327" s="5" t="inlineStr">
        <is>
          <t>Malaysia</t>
        </is>
      </c>
      <c r="F327" s="5" t="n">
        <v>2025</v>
      </c>
      <c r="G327" s="5" t="n">
        <v>1</v>
      </c>
      <c r="H327" s="7" t="n">
        <v>35433</v>
      </c>
      <c r="I327" s="5" t="inlineStr">
        <is>
          <t>USD</t>
        </is>
      </c>
      <c r="J327" s="8">
        <f>IF($I327="AUD",Assumptions!$B$2,Assumptions!$B$3)</f>
        <v/>
      </c>
      <c r="K327" s="9">
        <f>$G327*$H327*$J327</f>
        <v/>
      </c>
      <c r="L327" s="9">
        <f>$K327*Assumptions!$B$4</f>
        <v/>
      </c>
      <c r="M327" s="9">
        <f>RawTx[[#This Row],[Value USD]]/RawTx[[#This Row],[Quantity]]</f>
        <v/>
      </c>
      <c r="N327" s="9">
        <f>RawTx[[#This Row],[Value IDR]]/RawTx[[#This Row],[Quantity]]</f>
        <v/>
      </c>
      <c r="O327" s="4" t="inlineStr">
        <is>
          <t>CYANIDE SPARGE TANK; 25KL PART NO: 101514-001, OA</t>
        </is>
      </c>
      <c r="P327" s="5" t="inlineStr">
        <is>
          <t>NA</t>
        </is>
      </c>
      <c r="Q327" s="13" t="inlineStr">
        <is>
          <t>NA</t>
        </is>
      </c>
      <c r="R327" s="7" t="n">
        <v>5500</v>
      </c>
      <c r="S327" s="7">
        <f>IFERROR($R327/$G327,"")</f>
        <v/>
      </c>
      <c r="T327" s="7" t="inlineStr">
        <is>
          <t>NA</t>
        </is>
      </c>
      <c r="U327" s="7" t="inlineStr">
        <is>
          <t>NA</t>
        </is>
      </c>
      <c r="V327" s="7" t="inlineStr">
        <is>
          <t>NA</t>
        </is>
      </c>
      <c r="W327" s="9">
        <f>IF(ISNUMBER($T327),$T327*$J327*Assumptions!$B$4,"NA")</f>
        <v/>
      </c>
      <c r="X327" s="9">
        <f>IF(ISNUMBER($U327),$U327*$J327*Assumptions!$B$4,"NA")</f>
        <v/>
      </c>
      <c r="Y327" s="9">
        <f>IF(ISNUMBER($V327),$V327*$J327*Assumptions!$B$4,"NA")</f>
        <v/>
      </c>
    </row>
    <row r="328">
      <c r="A328" s="5" t="inlineStr">
        <is>
          <t>SSB Unit</t>
        </is>
      </c>
      <c r="B328" s="11" t="inlineStr">
        <is>
          <t>Tanks and service modules</t>
        </is>
      </c>
      <c r="C328" s="5" t="inlineStr">
        <is>
          <t>Orica Malaysia Sdn Bhd</t>
        </is>
      </c>
      <c r="D328" s="5" t="inlineStr">
        <is>
          <t>Contractor</t>
        </is>
      </c>
      <c r="E328" s="5" t="inlineStr">
        <is>
          <t>Malaysia</t>
        </is>
      </c>
      <c r="F328" s="5" t="n">
        <v>2025</v>
      </c>
      <c r="G328" s="5" t="n">
        <v>1</v>
      </c>
      <c r="H328" s="7" t="n">
        <v>35433</v>
      </c>
      <c r="I328" s="5" t="inlineStr">
        <is>
          <t>USD</t>
        </is>
      </c>
      <c r="J328" s="8">
        <f>IF($I328="AUD",Assumptions!$B$2,Assumptions!$B$3)</f>
        <v/>
      </c>
      <c r="K328" s="9">
        <f>$G328*$H328*$J328</f>
        <v/>
      </c>
      <c r="L328" s="9">
        <f>$K328*Assumptions!$B$4</f>
        <v/>
      </c>
      <c r="M328" s="9">
        <f>RawTx[[#This Row],[Value USD]]/RawTx[[#This Row],[Quantity]]</f>
        <v/>
      </c>
      <c r="N328" s="9">
        <f>RawTx[[#This Row],[Value IDR]]/RawTx[[#This Row],[Quantity]]</f>
        <v/>
      </c>
      <c r="O328" s="4" t="inlineStr">
        <is>
          <t>CYANIDE SPARGE TANK; 25KL PART NO: 101516-001, OA</t>
        </is>
      </c>
      <c r="P328" s="5" t="inlineStr">
        <is>
          <t>NA</t>
        </is>
      </c>
      <c r="Q328" s="13" t="inlineStr">
        <is>
          <t>NA</t>
        </is>
      </c>
      <c r="R328" s="7" t="n">
        <v>5440</v>
      </c>
      <c r="S328" s="7">
        <f>IFERROR($R328/$G328,"")</f>
        <v/>
      </c>
      <c r="T328" s="7" t="inlineStr">
        <is>
          <t>NA</t>
        </is>
      </c>
      <c r="U328" s="7" t="inlineStr">
        <is>
          <t>NA</t>
        </is>
      </c>
      <c r="V328" s="7" t="inlineStr">
        <is>
          <t>NA</t>
        </is>
      </c>
      <c r="W328" s="9">
        <f>IF(ISNUMBER($T328),$T328*$J328*Assumptions!$B$4,"NA")</f>
        <v/>
      </c>
      <c r="X328" s="9">
        <f>IF(ISNUMBER($U328),$U328*$J328*Assumptions!$B$4,"NA")</f>
        <v/>
      </c>
      <c r="Y328" s="9">
        <f>IF(ISNUMBER($V328),$V328*$J328*Assumptions!$B$4,"NA")</f>
        <v/>
      </c>
    </row>
    <row r="329">
      <c r="A329" s="5" t="inlineStr">
        <is>
          <t>SSB Unit</t>
        </is>
      </c>
      <c r="B329" s="11" t="inlineStr">
        <is>
          <t>Tanks and service modules</t>
        </is>
      </c>
      <c r="C329" s="5" t="inlineStr">
        <is>
          <t>Orica Malaysia Sdn Bhd</t>
        </is>
      </c>
      <c r="D329" s="5" t="inlineStr">
        <is>
          <t>Contractor</t>
        </is>
      </c>
      <c r="E329" s="5" t="inlineStr">
        <is>
          <t>Malaysia</t>
        </is>
      </c>
      <c r="F329" s="5" t="n">
        <v>2025</v>
      </c>
      <c r="G329" s="5" t="n">
        <v>1</v>
      </c>
      <c r="H329" s="7" t="n">
        <v>35433</v>
      </c>
      <c r="I329" s="5" t="inlineStr">
        <is>
          <t>USD</t>
        </is>
      </c>
      <c r="J329" s="8">
        <f>IF($I329="AUD",Assumptions!$B$2,Assumptions!$B$3)</f>
        <v/>
      </c>
      <c r="K329" s="9">
        <f>$G329*$H329*$J329</f>
        <v/>
      </c>
      <c r="L329" s="9">
        <f>$K329*Assumptions!$B$4</f>
        <v/>
      </c>
      <c r="M329" s="9">
        <f>RawTx[[#This Row],[Value USD]]/RawTx[[#This Row],[Quantity]]</f>
        <v/>
      </c>
      <c r="N329" s="9">
        <f>RawTx[[#This Row],[Value IDR]]/RawTx[[#This Row],[Quantity]]</f>
        <v/>
      </c>
      <c r="O329" s="4" t="inlineStr">
        <is>
          <t>CYANIDE SPARGE TANK; 25KL PART NO: 101523-001, OA</t>
        </is>
      </c>
      <c r="P329" s="5" t="inlineStr">
        <is>
          <t>NA</t>
        </is>
      </c>
      <c r="Q329" s="13" t="inlineStr">
        <is>
          <t>NA</t>
        </is>
      </c>
      <c r="R329" s="7" t="n">
        <v>5440</v>
      </c>
      <c r="S329" s="7">
        <f>IFERROR($R329/$G329,"")</f>
        <v/>
      </c>
      <c r="T329" s="7" t="inlineStr">
        <is>
          <t>NA</t>
        </is>
      </c>
      <c r="U329" s="7" t="inlineStr">
        <is>
          <t>NA</t>
        </is>
      </c>
      <c r="V329" s="7" t="inlineStr">
        <is>
          <t>NA</t>
        </is>
      </c>
      <c r="W329" s="9">
        <f>IF(ISNUMBER($T329),$T329*$J329*Assumptions!$B$4,"NA")</f>
        <v/>
      </c>
      <c r="X329" s="9">
        <f>IF(ISNUMBER($U329),$U329*$J329*Assumptions!$B$4,"NA")</f>
        <v/>
      </c>
      <c r="Y329" s="9">
        <f>IF(ISNUMBER($V329),$V329*$J329*Assumptions!$B$4,"NA")</f>
        <v/>
      </c>
    </row>
    <row r="330">
      <c r="A330" s="5" t="inlineStr">
        <is>
          <t>SSB Unit</t>
        </is>
      </c>
      <c r="B330" s="11" t="inlineStr">
        <is>
          <t>Tanks and service modules</t>
        </is>
      </c>
      <c r="C330" s="5" t="inlineStr">
        <is>
          <t>Orica Malaysia Sdn Bhd</t>
        </is>
      </c>
      <c r="D330" s="5" t="inlineStr">
        <is>
          <t>Contractor</t>
        </is>
      </c>
      <c r="E330" s="5" t="inlineStr">
        <is>
          <t>Malaysia</t>
        </is>
      </c>
      <c r="F330" s="5" t="n">
        <v>2025</v>
      </c>
      <c r="G330" s="5" t="n">
        <v>1</v>
      </c>
      <c r="H330" s="7" t="n">
        <v>35433</v>
      </c>
      <c r="I330" s="5" t="inlineStr">
        <is>
          <t>USD</t>
        </is>
      </c>
      <c r="J330" s="8">
        <f>IF($I330="AUD",Assumptions!$B$2,Assumptions!$B$3)</f>
        <v/>
      </c>
      <c r="K330" s="9">
        <f>$G330*$H330*$J330</f>
        <v/>
      </c>
      <c r="L330" s="9">
        <f>$K330*Assumptions!$B$4</f>
        <v/>
      </c>
      <c r="M330" s="9">
        <f>RawTx[[#This Row],[Value USD]]/RawTx[[#This Row],[Quantity]]</f>
        <v/>
      </c>
      <c r="N330" s="9">
        <f>RawTx[[#This Row],[Value IDR]]/RawTx[[#This Row],[Quantity]]</f>
        <v/>
      </c>
      <c r="O330" s="4" t="inlineStr">
        <is>
          <t>CYANIDE SPARGE TANK; 25KL PART NO: 101522-001, OA</t>
        </is>
      </c>
      <c r="P330" s="5" t="inlineStr">
        <is>
          <t>NA</t>
        </is>
      </c>
      <c r="Q330" s="13" t="inlineStr">
        <is>
          <t>NA</t>
        </is>
      </c>
      <c r="R330" s="7" t="n">
        <v>5630</v>
      </c>
      <c r="S330" s="7">
        <f>IFERROR($R330/$G330,"")</f>
        <v/>
      </c>
      <c r="T330" s="7" t="inlineStr">
        <is>
          <t>NA</t>
        </is>
      </c>
      <c r="U330" s="7" t="inlineStr">
        <is>
          <t>NA</t>
        </is>
      </c>
      <c r="V330" s="7" t="inlineStr">
        <is>
          <t>NA</t>
        </is>
      </c>
      <c r="W330" s="9">
        <f>IF(ISNUMBER($T330),$T330*$J330*Assumptions!$B$4,"NA")</f>
        <v/>
      </c>
      <c r="X330" s="9">
        <f>IF(ISNUMBER($U330),$U330*$J330*Assumptions!$B$4,"NA")</f>
        <v/>
      </c>
      <c r="Y330" s="9">
        <f>IF(ISNUMBER($V330),$V330*$J330*Assumptions!$B$4,"NA")</f>
        <v/>
      </c>
    </row>
    <row r="331">
      <c r="A331" s="5" t="inlineStr">
        <is>
          <t>SSB Unit</t>
        </is>
      </c>
      <c r="B331" s="11" t="inlineStr">
        <is>
          <t>Tanks and service modules</t>
        </is>
      </c>
      <c r="C331" s="5" t="inlineStr">
        <is>
          <t>Orica Malaysia Sdn Bhd</t>
        </is>
      </c>
      <c r="D331" s="5" t="inlineStr">
        <is>
          <t>Contractor</t>
        </is>
      </c>
      <c r="E331" s="5" t="inlineStr">
        <is>
          <t>Malaysia</t>
        </is>
      </c>
      <c r="F331" s="5" t="n">
        <v>2025</v>
      </c>
      <c r="G331" s="5" t="n">
        <v>1</v>
      </c>
      <c r="H331" s="7" t="n">
        <v>35433</v>
      </c>
      <c r="I331" s="5" t="inlineStr">
        <is>
          <t>USD</t>
        </is>
      </c>
      <c r="J331" s="8">
        <f>IF($I331="AUD",Assumptions!$B$2,Assumptions!$B$3)</f>
        <v/>
      </c>
      <c r="K331" s="9">
        <f>$G331*$H331*$J331</f>
        <v/>
      </c>
      <c r="L331" s="9">
        <f>$K331*Assumptions!$B$4</f>
        <v/>
      </c>
      <c r="M331" s="9">
        <f>RawTx[[#This Row],[Value USD]]/RawTx[[#This Row],[Quantity]]</f>
        <v/>
      </c>
      <c r="N331" s="9">
        <f>RawTx[[#This Row],[Value IDR]]/RawTx[[#This Row],[Quantity]]</f>
        <v/>
      </c>
      <c r="O331" s="4" t="inlineStr">
        <is>
          <t>CYANIDE SPARGE TANK; 25KL PART NO: 101520-001, OA</t>
        </is>
      </c>
      <c r="P331" s="5" t="inlineStr">
        <is>
          <t>NA</t>
        </is>
      </c>
      <c r="Q331" s="13" t="inlineStr">
        <is>
          <t>NA</t>
        </is>
      </c>
      <c r="R331" s="7" t="n">
        <v>5570</v>
      </c>
      <c r="S331" s="7">
        <f>IFERROR($R331/$G331,"")</f>
        <v/>
      </c>
      <c r="T331" s="7" t="inlineStr">
        <is>
          <t>NA</t>
        </is>
      </c>
      <c r="U331" s="7" t="inlineStr">
        <is>
          <t>NA</t>
        </is>
      </c>
      <c r="V331" s="7" t="inlineStr">
        <is>
          <t>NA</t>
        </is>
      </c>
      <c r="W331" s="9">
        <f>IF(ISNUMBER($T331),$T331*$J331*Assumptions!$B$4,"NA")</f>
        <v/>
      </c>
      <c r="X331" s="9">
        <f>IF(ISNUMBER($U331),$U331*$J331*Assumptions!$B$4,"NA")</f>
        <v/>
      </c>
      <c r="Y331" s="9">
        <f>IF(ISNUMBER($V331),$V331*$J331*Assumptions!$B$4,"NA")</f>
        <v/>
      </c>
    </row>
    <row r="332">
      <c r="A332" s="5" t="inlineStr">
        <is>
          <t>SSB Unit</t>
        </is>
      </c>
      <c r="B332" s="11" t="inlineStr">
        <is>
          <t>Tanks and service modules</t>
        </is>
      </c>
      <c r="C332" s="5" t="inlineStr">
        <is>
          <t>Orica Malaysia Sdn Bhd</t>
        </is>
      </c>
      <c r="D332" s="5" t="inlineStr">
        <is>
          <t>Contractor</t>
        </is>
      </c>
      <c r="E332" s="5" t="inlineStr">
        <is>
          <t>Malaysia</t>
        </is>
      </c>
      <c r="F332" s="5" t="n">
        <v>2025</v>
      </c>
      <c r="G332" s="5" t="n">
        <v>1</v>
      </c>
      <c r="H332" s="7" t="n">
        <v>35433</v>
      </c>
      <c r="I332" s="5" t="inlineStr">
        <is>
          <t>USD</t>
        </is>
      </c>
      <c r="J332" s="8">
        <f>IF($I332="AUD",Assumptions!$B$2,Assumptions!$B$3)</f>
        <v/>
      </c>
      <c r="K332" s="9">
        <f>$G332*$H332*$J332</f>
        <v/>
      </c>
      <c r="L332" s="9">
        <f>$K332*Assumptions!$B$4</f>
        <v/>
      </c>
      <c r="M332" s="9">
        <f>RawTx[[#This Row],[Value USD]]/RawTx[[#This Row],[Quantity]]</f>
        <v/>
      </c>
      <c r="N332" s="9">
        <f>RawTx[[#This Row],[Value IDR]]/RawTx[[#This Row],[Quantity]]</f>
        <v/>
      </c>
      <c r="O332" s="4" t="inlineStr">
        <is>
          <t>CYANIDE SPARGE TANK; 25KL PART NO: 101511-001, OA</t>
        </is>
      </c>
      <c r="P332" s="5" t="inlineStr">
        <is>
          <t>NA</t>
        </is>
      </c>
      <c r="Q332" s="13" t="inlineStr">
        <is>
          <t>NA</t>
        </is>
      </c>
      <c r="R332" s="7" t="n">
        <v>5450</v>
      </c>
      <c r="S332" s="7">
        <f>IFERROR($R332/$G332,"")</f>
        <v/>
      </c>
      <c r="T332" s="7" t="inlineStr">
        <is>
          <t>NA</t>
        </is>
      </c>
      <c r="U332" s="7" t="inlineStr">
        <is>
          <t>NA</t>
        </is>
      </c>
      <c r="V332" s="7" t="inlineStr">
        <is>
          <t>NA</t>
        </is>
      </c>
      <c r="W332" s="9">
        <f>IF(ISNUMBER($T332),$T332*$J332*Assumptions!$B$4,"NA")</f>
        <v/>
      </c>
      <c r="X332" s="9">
        <f>IF(ISNUMBER($U332),$U332*$J332*Assumptions!$B$4,"NA")</f>
        <v/>
      </c>
      <c r="Y332" s="9">
        <f>IF(ISNUMBER($V332),$V332*$J332*Assumptions!$B$4,"NA")</f>
        <v/>
      </c>
    </row>
    <row r="333">
      <c r="A333" s="5" t="inlineStr">
        <is>
          <t>SSB Unit</t>
        </is>
      </c>
      <c r="B333" s="11" t="inlineStr">
        <is>
          <t>Tanks and service modules</t>
        </is>
      </c>
      <c r="C333" s="5" t="inlineStr">
        <is>
          <t>Orica Malaysia Sdn Bhd</t>
        </is>
      </c>
      <c r="D333" s="5" t="inlineStr">
        <is>
          <t>Contractor</t>
        </is>
      </c>
      <c r="E333" s="5" t="inlineStr">
        <is>
          <t>Malaysia</t>
        </is>
      </c>
      <c r="F333" s="5" t="n">
        <v>2025</v>
      </c>
      <c r="G333" s="5" t="n">
        <v>1</v>
      </c>
      <c r="H333" s="7" t="n">
        <v>35433</v>
      </c>
      <c r="I333" s="5" t="inlineStr">
        <is>
          <t>USD</t>
        </is>
      </c>
      <c r="J333" s="8">
        <f>IF($I333="AUD",Assumptions!$B$2,Assumptions!$B$3)</f>
        <v/>
      </c>
      <c r="K333" s="9">
        <f>$G333*$H333*$J333</f>
        <v/>
      </c>
      <c r="L333" s="9">
        <f>$K333*Assumptions!$B$4</f>
        <v/>
      </c>
      <c r="M333" s="9">
        <f>RawTx[[#This Row],[Value USD]]/RawTx[[#This Row],[Quantity]]</f>
        <v/>
      </c>
      <c r="N333" s="9">
        <f>RawTx[[#This Row],[Value IDR]]/RawTx[[#This Row],[Quantity]]</f>
        <v/>
      </c>
      <c r="O333" s="4" t="inlineStr">
        <is>
          <t>CYANIDE SPARGE TANK; 25KL PART NO: 101513-001, OA</t>
        </is>
      </c>
      <c r="P333" s="5" t="inlineStr">
        <is>
          <t>NA</t>
        </is>
      </c>
      <c r="Q333" s="13" t="inlineStr">
        <is>
          <t>NA</t>
        </is>
      </c>
      <c r="R333" s="7" t="n">
        <v>5450</v>
      </c>
      <c r="S333" s="7">
        <f>IFERROR($R333/$G333,"")</f>
        <v/>
      </c>
      <c r="T333" s="7" t="inlineStr">
        <is>
          <t>NA</t>
        </is>
      </c>
      <c r="U333" s="7" t="inlineStr">
        <is>
          <t>NA</t>
        </is>
      </c>
      <c r="V333" s="7" t="inlineStr">
        <is>
          <t>NA</t>
        </is>
      </c>
      <c r="W333" s="9">
        <f>IF(ISNUMBER($T333),$T333*$J333*Assumptions!$B$4,"NA")</f>
        <v/>
      </c>
      <c r="X333" s="9">
        <f>IF(ISNUMBER($U333),$U333*$J333*Assumptions!$B$4,"NA")</f>
        <v/>
      </c>
      <c r="Y333" s="9">
        <f>IF(ISNUMBER($V333),$V333*$J333*Assumptions!$B$4,"NA")</f>
        <v/>
      </c>
    </row>
    <row r="334">
      <c r="A334" s="5" t="inlineStr">
        <is>
          <t>SSB Unit</t>
        </is>
      </c>
      <c r="B334" s="11" t="inlineStr">
        <is>
          <t>Tanks and service modules</t>
        </is>
      </c>
      <c r="C334" s="5" t="inlineStr">
        <is>
          <t>Orica Malaysia Sdn Bhd</t>
        </is>
      </c>
      <c r="D334" s="5" t="inlineStr">
        <is>
          <t>Contractor</t>
        </is>
      </c>
      <c r="E334" s="5" t="inlineStr">
        <is>
          <t>Malaysia</t>
        </is>
      </c>
      <c r="F334" s="5" t="n">
        <v>2025</v>
      </c>
      <c r="G334" s="5" t="n">
        <v>1</v>
      </c>
      <c r="H334" s="7" t="n">
        <v>35433</v>
      </c>
      <c r="I334" s="5" t="inlineStr">
        <is>
          <t>USD</t>
        </is>
      </c>
      <c r="J334" s="8">
        <f>IF($I334="AUD",Assumptions!$B$2,Assumptions!$B$3)</f>
        <v/>
      </c>
      <c r="K334" s="9">
        <f>$G334*$H334*$J334</f>
        <v/>
      </c>
      <c r="L334" s="9">
        <f>$K334*Assumptions!$B$4</f>
        <v/>
      </c>
      <c r="M334" s="9">
        <f>RawTx[[#This Row],[Value USD]]/RawTx[[#This Row],[Quantity]]</f>
        <v/>
      </c>
      <c r="N334" s="9">
        <f>RawTx[[#This Row],[Value IDR]]/RawTx[[#This Row],[Quantity]]</f>
        <v/>
      </c>
      <c r="O334" s="4" t="inlineStr">
        <is>
          <t>CYANIDE SPARGE TANK; 25KL PART NO: 101512-001, OA</t>
        </is>
      </c>
      <c r="P334" s="5" t="inlineStr">
        <is>
          <t>NA</t>
        </is>
      </c>
      <c r="Q334" s="13" t="inlineStr">
        <is>
          <t>NA</t>
        </is>
      </c>
      <c r="R334" s="7" t="n">
        <v>5460</v>
      </c>
      <c r="S334" s="7">
        <f>IFERROR($R334/$G334,"")</f>
        <v/>
      </c>
      <c r="T334" s="7" t="inlineStr">
        <is>
          <t>NA</t>
        </is>
      </c>
      <c r="U334" s="7" t="inlineStr">
        <is>
          <t>NA</t>
        </is>
      </c>
      <c r="V334" s="7" t="inlineStr">
        <is>
          <t>NA</t>
        </is>
      </c>
      <c r="W334" s="9">
        <f>IF(ISNUMBER($T334),$T334*$J334*Assumptions!$B$4,"NA")</f>
        <v/>
      </c>
      <c r="X334" s="9">
        <f>IF(ISNUMBER($U334),$U334*$J334*Assumptions!$B$4,"NA")</f>
        <v/>
      </c>
      <c r="Y334" s="9">
        <f>IF(ISNUMBER($V334),$V334*$J334*Assumptions!$B$4,"NA")</f>
        <v/>
      </c>
    </row>
    <row r="335">
      <c r="A335" s="5" t="inlineStr">
        <is>
          <t>SSB Unit</t>
        </is>
      </c>
      <c r="B335" s="11" t="inlineStr">
        <is>
          <t>Tanks and service modules</t>
        </is>
      </c>
      <c r="C335" s="5" t="inlineStr">
        <is>
          <t>Orica Malaysia Sdn Bhd</t>
        </is>
      </c>
      <c r="D335" s="5" t="inlineStr">
        <is>
          <t>Contractor</t>
        </is>
      </c>
      <c r="E335" s="5" t="inlineStr">
        <is>
          <t>Malaysia</t>
        </is>
      </c>
      <c r="F335" s="5" t="n">
        <v>2025</v>
      </c>
      <c r="G335" s="5" t="n">
        <v>1</v>
      </c>
      <c r="H335" s="7" t="n">
        <v>38186</v>
      </c>
      <c r="I335" s="5" t="inlineStr">
        <is>
          <t>USD</t>
        </is>
      </c>
      <c r="J335" s="8">
        <f>IF($I335="AUD",Assumptions!$B$2,Assumptions!$B$3)</f>
        <v/>
      </c>
      <c r="K335" s="9">
        <f>$G335*$H335*$J335</f>
        <v/>
      </c>
      <c r="L335" s="9">
        <f>$K335*Assumptions!$B$4</f>
        <v/>
      </c>
      <c r="M335" s="9">
        <f>RawTx[[#This Row],[Value USD]]/RawTx[[#This Row],[Quantity]]</f>
        <v/>
      </c>
      <c r="N335" s="9">
        <f>RawTx[[#This Row],[Value IDR]]/RawTx[[#This Row],[Quantity]]</f>
        <v/>
      </c>
      <c r="O335" s="4" t="inlineStr">
        <is>
          <t>BODY, TANK : SODIUM CYANIDE SPARGE TANK; SN UNIT</t>
        </is>
      </c>
      <c r="P335" s="5" t="inlineStr">
        <is>
          <t>NA</t>
        </is>
      </c>
      <c r="Q335" s="13" t="inlineStr">
        <is>
          <t>NA</t>
        </is>
      </c>
      <c r="R335" s="7" t="n">
        <v>5540</v>
      </c>
      <c r="S335" s="7">
        <f>IFERROR($R335/$G335,"")</f>
        <v/>
      </c>
      <c r="T335" s="7" t="inlineStr">
        <is>
          <t>NA</t>
        </is>
      </c>
      <c r="U335" s="7" t="inlineStr">
        <is>
          <t>NA</t>
        </is>
      </c>
      <c r="V335" s="7" t="inlineStr">
        <is>
          <t>NA</t>
        </is>
      </c>
      <c r="W335" s="9">
        <f>IF(ISNUMBER($T335),$T335*$J335*Assumptions!$B$4,"NA")</f>
        <v/>
      </c>
      <c r="X335" s="9">
        <f>IF(ISNUMBER($U335),$U335*$J335*Assumptions!$B$4,"NA")</f>
        <v/>
      </c>
      <c r="Y335" s="9">
        <f>IF(ISNUMBER($V335),$V335*$J335*Assumptions!$B$4,"NA")</f>
        <v/>
      </c>
    </row>
    <row r="336">
      <c r="A336" s="5" t="inlineStr">
        <is>
          <t>SSB Unit</t>
        </is>
      </c>
      <c r="B336" s="11" t="inlineStr">
        <is>
          <t>Tanks and service modules</t>
        </is>
      </c>
      <c r="C336" s="5" t="inlineStr">
        <is>
          <t>Orica Malaysia Sdn Bhd</t>
        </is>
      </c>
      <c r="D336" s="5" t="inlineStr">
        <is>
          <t>Contractor</t>
        </is>
      </c>
      <c r="E336" s="5" t="inlineStr">
        <is>
          <t>Malaysia</t>
        </is>
      </c>
      <c r="F336" s="5" t="n">
        <v>2025</v>
      </c>
      <c r="G336" s="5" t="n">
        <v>1</v>
      </c>
      <c r="H336" s="7" t="n">
        <v>38186</v>
      </c>
      <c r="I336" s="5" t="inlineStr">
        <is>
          <t>USD</t>
        </is>
      </c>
      <c r="J336" s="8">
        <f>IF($I336="AUD",Assumptions!$B$2,Assumptions!$B$3)</f>
        <v/>
      </c>
      <c r="K336" s="9">
        <f>$G336*$H336*$J336</f>
        <v/>
      </c>
      <c r="L336" s="9">
        <f>$K336*Assumptions!$B$4</f>
        <v/>
      </c>
      <c r="M336" s="9">
        <f>RawTx[[#This Row],[Value USD]]/RawTx[[#This Row],[Quantity]]</f>
        <v/>
      </c>
      <c r="N336" s="9">
        <f>RawTx[[#This Row],[Value IDR]]/RawTx[[#This Row],[Quantity]]</f>
        <v/>
      </c>
      <c r="O336" s="4" t="inlineStr">
        <is>
          <t>BODY,TANK : SODIUM CYANIDE SPARGE TANK; SN UNIT</t>
        </is>
      </c>
      <c r="P336" s="5" t="inlineStr">
        <is>
          <t>NA</t>
        </is>
      </c>
      <c r="Q336" s="13" t="inlineStr">
        <is>
          <t>NA</t>
        </is>
      </c>
      <c r="R336" s="7" t="n">
        <v>5450</v>
      </c>
      <c r="S336" s="7">
        <f>IFERROR($R336/$G336,"")</f>
        <v/>
      </c>
      <c r="T336" s="7" t="inlineStr">
        <is>
          <t>NA</t>
        </is>
      </c>
      <c r="U336" s="7" t="inlineStr">
        <is>
          <t>NA</t>
        </is>
      </c>
      <c r="V336" s="7" t="inlineStr">
        <is>
          <t>NA</t>
        </is>
      </c>
      <c r="W336" s="9">
        <f>IF(ISNUMBER($T336),$T336*$J336*Assumptions!$B$4,"NA")</f>
        <v/>
      </c>
      <c r="X336" s="9">
        <f>IF(ISNUMBER($U336),$U336*$J336*Assumptions!$B$4,"NA")</f>
        <v/>
      </c>
      <c r="Y336" s="9">
        <f>IF(ISNUMBER($V336),$V336*$J336*Assumptions!$B$4,"NA")</f>
        <v/>
      </c>
    </row>
    <row r="337">
      <c r="A337" s="5" t="inlineStr">
        <is>
          <t>SSB Unit</t>
        </is>
      </c>
      <c r="B337" s="11" t="inlineStr">
        <is>
          <t>Tanks and service modules</t>
        </is>
      </c>
      <c r="C337" s="5" t="inlineStr">
        <is>
          <t>Orica Malaysia Sdn Bhd</t>
        </is>
      </c>
      <c r="D337" s="5" t="inlineStr">
        <is>
          <t>Contractor</t>
        </is>
      </c>
      <c r="E337" s="5" t="inlineStr">
        <is>
          <t>Malaysia</t>
        </is>
      </c>
      <c r="F337" s="5" t="n">
        <v>2025</v>
      </c>
      <c r="G337" s="5" t="n">
        <v>1</v>
      </c>
      <c r="H337" s="7" t="n">
        <v>38186</v>
      </c>
      <c r="I337" s="5" t="inlineStr">
        <is>
          <t>USD</t>
        </is>
      </c>
      <c r="J337" s="8">
        <f>IF($I337="AUD",Assumptions!$B$2,Assumptions!$B$3)</f>
        <v/>
      </c>
      <c r="K337" s="9">
        <f>$G337*$H337*$J337</f>
        <v/>
      </c>
      <c r="L337" s="9">
        <f>$K337*Assumptions!$B$4</f>
        <v/>
      </c>
      <c r="M337" s="9">
        <f>RawTx[[#This Row],[Value USD]]/RawTx[[#This Row],[Quantity]]</f>
        <v/>
      </c>
      <c r="N337" s="9">
        <f>RawTx[[#This Row],[Value IDR]]/RawTx[[#This Row],[Quantity]]</f>
        <v/>
      </c>
      <c r="O337" s="4" t="inlineStr">
        <is>
          <t>BODY,TANK : SODIUM CYANIDE SPARGE TANK; SN UNIT</t>
        </is>
      </c>
      <c r="P337" s="5" t="inlineStr">
        <is>
          <t>NA</t>
        </is>
      </c>
      <c r="Q337" s="13" t="inlineStr">
        <is>
          <t>NA</t>
        </is>
      </c>
      <c r="R337" s="7" t="n">
        <v>5530</v>
      </c>
      <c r="S337" s="7">
        <f>IFERROR($R337/$G337,"")</f>
        <v/>
      </c>
      <c r="T337" s="7" t="inlineStr">
        <is>
          <t>NA</t>
        </is>
      </c>
      <c r="U337" s="7" t="inlineStr">
        <is>
          <t>NA</t>
        </is>
      </c>
      <c r="V337" s="7" t="inlineStr">
        <is>
          <t>NA</t>
        </is>
      </c>
      <c r="W337" s="9">
        <f>IF(ISNUMBER($T337),$T337*$J337*Assumptions!$B$4,"NA")</f>
        <v/>
      </c>
      <c r="X337" s="9">
        <f>IF(ISNUMBER($U337),$U337*$J337*Assumptions!$B$4,"NA")</f>
        <v/>
      </c>
      <c r="Y337" s="9">
        <f>IF(ISNUMBER($V337),$V337*$J337*Assumptions!$B$4,"NA")</f>
        <v/>
      </c>
    </row>
    <row r="338">
      <c r="A338" s="5" t="inlineStr">
        <is>
          <t>SSB Unit</t>
        </is>
      </c>
      <c r="B338" s="11" t="inlineStr">
        <is>
          <t>Tanks and service modules</t>
        </is>
      </c>
      <c r="C338" s="5" t="inlineStr">
        <is>
          <t>Orica Malaysia Sdn Bhd</t>
        </is>
      </c>
      <c r="D338" s="5" t="inlineStr">
        <is>
          <t>Contractor</t>
        </is>
      </c>
      <c r="E338" s="5" t="inlineStr">
        <is>
          <t>Malaysia</t>
        </is>
      </c>
      <c r="F338" s="5" t="n">
        <v>2025</v>
      </c>
      <c r="G338" s="5" t="n">
        <v>1</v>
      </c>
      <c r="H338" s="7" t="n">
        <v>38186</v>
      </c>
      <c r="I338" s="5" t="inlineStr">
        <is>
          <t>USD</t>
        </is>
      </c>
      <c r="J338" s="8">
        <f>IF($I338="AUD",Assumptions!$B$2,Assumptions!$B$3)</f>
        <v/>
      </c>
      <c r="K338" s="9">
        <f>$G338*$H338*$J338</f>
        <v/>
      </c>
      <c r="L338" s="9">
        <f>$K338*Assumptions!$B$4</f>
        <v/>
      </c>
      <c r="M338" s="9">
        <f>RawTx[[#This Row],[Value USD]]/RawTx[[#This Row],[Quantity]]</f>
        <v/>
      </c>
      <c r="N338" s="9">
        <f>RawTx[[#This Row],[Value IDR]]/RawTx[[#This Row],[Quantity]]</f>
        <v/>
      </c>
      <c r="O338" s="4" t="inlineStr">
        <is>
          <t>BODY, TANK : SODIUM CYANIDE SPARGE TANK; SN UNIT</t>
        </is>
      </c>
      <c r="P338" s="5" t="inlineStr">
        <is>
          <t>NA</t>
        </is>
      </c>
      <c r="Q338" s="13" t="inlineStr">
        <is>
          <t>NA</t>
        </is>
      </c>
      <c r="R338" s="7" t="n">
        <v>5550</v>
      </c>
      <c r="S338" s="7">
        <f>IFERROR($R338/$G338,"")</f>
        <v/>
      </c>
      <c r="T338" s="7" t="inlineStr">
        <is>
          <t>NA</t>
        </is>
      </c>
      <c r="U338" s="7" t="inlineStr">
        <is>
          <t>NA</t>
        </is>
      </c>
      <c r="V338" s="7" t="inlineStr">
        <is>
          <t>NA</t>
        </is>
      </c>
      <c r="W338" s="9">
        <f>IF(ISNUMBER($T338),$T338*$J338*Assumptions!$B$4,"NA")</f>
        <v/>
      </c>
      <c r="X338" s="9">
        <f>IF(ISNUMBER($U338),$U338*$J338*Assumptions!$B$4,"NA")</f>
        <v/>
      </c>
      <c r="Y338" s="9">
        <f>IF(ISNUMBER($V338),$V338*$J338*Assumptions!$B$4,"NA")</f>
        <v/>
      </c>
    </row>
    <row r="339">
      <c r="A339" s="5" t="inlineStr">
        <is>
          <t>SSB Unit</t>
        </is>
      </c>
      <c r="B339" s="11" t="inlineStr">
        <is>
          <t>Tanks and service modules</t>
        </is>
      </c>
      <c r="C339" s="5" t="inlineStr">
        <is>
          <t>Orica Singapore Private Ltd</t>
        </is>
      </c>
      <c r="D339" s="5" t="inlineStr">
        <is>
          <t>Contractor</t>
        </is>
      </c>
      <c r="E339" s="5" t="inlineStr">
        <is>
          <t>Singapore</t>
        </is>
      </c>
      <c r="F339" s="5" t="n">
        <v>2025</v>
      </c>
      <c r="G339" s="5" t="n">
        <v>1</v>
      </c>
      <c r="H339" s="7" t="n">
        <v>38186</v>
      </c>
      <c r="I339" s="5" t="inlineStr">
        <is>
          <t>USD</t>
        </is>
      </c>
      <c r="J339" s="8">
        <f>IF($I339="AUD",Assumptions!$B$2,Assumptions!$B$3)</f>
        <v/>
      </c>
      <c r="K339" s="9">
        <f>$G339*$H339*$J339</f>
        <v/>
      </c>
      <c r="L339" s="9">
        <f>$K339*Assumptions!$B$4</f>
        <v/>
      </c>
      <c r="M339" s="9">
        <f>RawTx[[#This Row],[Value USD]]/RawTx[[#This Row],[Quantity]]</f>
        <v/>
      </c>
      <c r="N339" s="9">
        <f>RawTx[[#This Row],[Value IDR]]/RawTx[[#This Row],[Quantity]]</f>
        <v/>
      </c>
      <c r="O339" s="4" t="inlineStr">
        <is>
          <t>BODY,TANK:SODIUM CYANIDE SPARGE TANK; SN UNIT</t>
        </is>
      </c>
      <c r="P339" s="5" t="inlineStr">
        <is>
          <t>NA</t>
        </is>
      </c>
      <c r="Q339" s="13" t="inlineStr">
        <is>
          <t>NA</t>
        </is>
      </c>
      <c r="R339" s="7" t="n">
        <v>5550</v>
      </c>
      <c r="S339" s="7">
        <f>IFERROR($R339/$G339,"")</f>
        <v/>
      </c>
      <c r="T339" s="7" t="inlineStr">
        <is>
          <t>NA</t>
        </is>
      </c>
      <c r="U339" s="7" t="inlineStr">
        <is>
          <t>NA</t>
        </is>
      </c>
      <c r="V339" s="7" t="inlineStr">
        <is>
          <t>NA</t>
        </is>
      </c>
      <c r="W339" s="9">
        <f>IF(ISNUMBER($T339),$T339*$J339*Assumptions!$B$4,"NA")</f>
        <v/>
      </c>
      <c r="X339" s="9">
        <f>IF(ISNUMBER($U339),$U339*$J339*Assumptions!$B$4,"NA")</f>
        <v/>
      </c>
      <c r="Y339" s="9">
        <f>IF(ISNUMBER($V339),$V339*$J339*Assumptions!$B$4,"NA")</f>
        <v/>
      </c>
    </row>
    <row r="340">
      <c r="A340" s="5" t="inlineStr">
        <is>
          <t>SSB Unit</t>
        </is>
      </c>
      <c r="B340" s="11" t="inlineStr">
        <is>
          <t>Tanks and service modules</t>
        </is>
      </c>
      <c r="C340" s="5" t="inlineStr">
        <is>
          <t>Orica Singapore Private Ltd</t>
        </is>
      </c>
      <c r="D340" s="5" t="inlineStr">
        <is>
          <t>Contractor</t>
        </is>
      </c>
      <c r="E340" s="5" t="inlineStr">
        <is>
          <t>Singapore</t>
        </is>
      </c>
      <c r="F340" s="5" t="n">
        <v>2025</v>
      </c>
      <c r="G340" s="5" t="n">
        <v>1</v>
      </c>
      <c r="H340" s="7" t="n">
        <v>38186</v>
      </c>
      <c r="I340" s="5" t="inlineStr">
        <is>
          <t>USD</t>
        </is>
      </c>
      <c r="J340" s="8">
        <f>IF($I340="AUD",Assumptions!$B$2,Assumptions!$B$3)</f>
        <v/>
      </c>
      <c r="K340" s="9">
        <f>$G340*$H340*$J340</f>
        <v/>
      </c>
      <c r="L340" s="9">
        <f>$K340*Assumptions!$B$4</f>
        <v/>
      </c>
      <c r="M340" s="9">
        <f>RawTx[[#This Row],[Value USD]]/RawTx[[#This Row],[Quantity]]</f>
        <v/>
      </c>
      <c r="N340" s="9">
        <f>RawTx[[#This Row],[Value IDR]]/RawTx[[#This Row],[Quantity]]</f>
        <v/>
      </c>
      <c r="O340" s="4" t="inlineStr">
        <is>
          <t>BODY,TANK:SODIUM CYANIDE SPARGE TANK; SN UNIT:</t>
        </is>
      </c>
      <c r="P340" s="5" t="inlineStr">
        <is>
          <t>NA</t>
        </is>
      </c>
      <c r="Q340" s="13" t="inlineStr">
        <is>
          <t>NA</t>
        </is>
      </c>
      <c r="R340" s="7" t="n">
        <v>5590</v>
      </c>
      <c r="S340" s="7">
        <f>IFERROR($R340/$G340,"")</f>
        <v/>
      </c>
      <c r="T340" s="7" t="inlineStr">
        <is>
          <t>NA</t>
        </is>
      </c>
      <c r="U340" s="7" t="inlineStr">
        <is>
          <t>NA</t>
        </is>
      </c>
      <c r="V340" s="7" t="inlineStr">
        <is>
          <t>NA</t>
        </is>
      </c>
      <c r="W340" s="9">
        <f>IF(ISNUMBER($T340),$T340*$J340*Assumptions!$B$4,"NA")</f>
        <v/>
      </c>
      <c r="X340" s="9">
        <f>IF(ISNUMBER($U340),$U340*$J340*Assumptions!$B$4,"NA")</f>
        <v/>
      </c>
      <c r="Y340" s="9">
        <f>IF(ISNUMBER($V340),$V340*$J340*Assumptions!$B$4,"NA")</f>
        <v/>
      </c>
    </row>
    <row r="341">
      <c r="A341" s="5" t="inlineStr">
        <is>
          <t>SSB Unit</t>
        </is>
      </c>
      <c r="B341" s="11" t="inlineStr">
        <is>
          <t>Tanks and service modules</t>
        </is>
      </c>
      <c r="C341" s="5" t="inlineStr">
        <is>
          <t>Orica Singapore Private Ltd</t>
        </is>
      </c>
      <c r="D341" s="5" t="inlineStr">
        <is>
          <t>Contractor</t>
        </is>
      </c>
      <c r="E341" s="5" t="inlineStr">
        <is>
          <t>Singapore</t>
        </is>
      </c>
      <c r="F341" s="5" t="n">
        <v>2025</v>
      </c>
      <c r="G341" s="5" t="n">
        <v>1</v>
      </c>
      <c r="H341" s="7" t="n">
        <v>38186</v>
      </c>
      <c r="I341" s="5" t="inlineStr">
        <is>
          <t>USD</t>
        </is>
      </c>
      <c r="J341" s="8">
        <f>IF($I341="AUD",Assumptions!$B$2,Assumptions!$B$3)</f>
        <v/>
      </c>
      <c r="K341" s="9">
        <f>$G341*$H341*$J341</f>
        <v/>
      </c>
      <c r="L341" s="9">
        <f>$K341*Assumptions!$B$4</f>
        <v/>
      </c>
      <c r="M341" s="9">
        <f>RawTx[[#This Row],[Value USD]]/RawTx[[#This Row],[Quantity]]</f>
        <v/>
      </c>
      <c r="N341" s="9">
        <f>RawTx[[#This Row],[Value IDR]]/RawTx[[#This Row],[Quantity]]</f>
        <v/>
      </c>
      <c r="O341" s="4" t="inlineStr">
        <is>
          <t>BODY,TANK:SODIUM CYANIDE SPARGE TANK; SN UNIT:</t>
        </is>
      </c>
      <c r="P341" s="5" t="inlineStr">
        <is>
          <t>NA</t>
        </is>
      </c>
      <c r="Q341" s="13" t="inlineStr">
        <is>
          <t>NA</t>
        </is>
      </c>
      <c r="R341" s="7" t="n">
        <v>5570</v>
      </c>
      <c r="S341" s="7">
        <f>IFERROR($R341/$G341,"")</f>
        <v/>
      </c>
      <c r="T341" s="7" t="inlineStr">
        <is>
          <t>NA</t>
        </is>
      </c>
      <c r="U341" s="7" t="inlineStr">
        <is>
          <t>NA</t>
        </is>
      </c>
      <c r="V341" s="7" t="inlineStr">
        <is>
          <t>NA</t>
        </is>
      </c>
      <c r="W341" s="9">
        <f>IF(ISNUMBER($T341),$T341*$J341*Assumptions!$B$4,"NA")</f>
        <v/>
      </c>
      <c r="X341" s="9">
        <f>IF(ISNUMBER($U341),$U341*$J341*Assumptions!$B$4,"NA")</f>
        <v/>
      </c>
      <c r="Y341" s="9">
        <f>IF(ISNUMBER($V341),$V341*$J341*Assumptions!$B$4,"NA")</f>
        <v/>
      </c>
    </row>
    <row r="342">
      <c r="A342" s="5" t="inlineStr">
        <is>
          <t>SSB Unit</t>
        </is>
      </c>
      <c r="B342" s="11" t="inlineStr">
        <is>
          <t>Tanks and service modules</t>
        </is>
      </c>
      <c r="C342" s="5" t="inlineStr">
        <is>
          <t>Orica Singapore Private Ltd</t>
        </is>
      </c>
      <c r="D342" s="5" t="inlineStr">
        <is>
          <t>Contractor</t>
        </is>
      </c>
      <c r="E342" s="5" t="inlineStr">
        <is>
          <t>Singapore</t>
        </is>
      </c>
      <c r="F342" s="5" t="n">
        <v>2025</v>
      </c>
      <c r="G342" s="5" t="n">
        <v>1</v>
      </c>
      <c r="H342" s="7" t="n">
        <v>38186</v>
      </c>
      <c r="I342" s="5" t="inlineStr">
        <is>
          <t>USD</t>
        </is>
      </c>
      <c r="J342" s="8">
        <f>IF($I342="AUD",Assumptions!$B$2,Assumptions!$B$3)</f>
        <v/>
      </c>
      <c r="K342" s="9">
        <f>$G342*$H342*$J342</f>
        <v/>
      </c>
      <c r="L342" s="9">
        <f>$K342*Assumptions!$B$4</f>
        <v/>
      </c>
      <c r="M342" s="9">
        <f>RawTx[[#This Row],[Value USD]]/RawTx[[#This Row],[Quantity]]</f>
        <v/>
      </c>
      <c r="N342" s="9">
        <f>RawTx[[#This Row],[Value IDR]]/RawTx[[#This Row],[Quantity]]</f>
        <v/>
      </c>
      <c r="O342" s="4" t="inlineStr">
        <is>
          <t>BODY,TANK:SODIUM CYANIDE SPARGE TANK; SN UNIT:</t>
        </is>
      </c>
      <c r="P342" s="5" t="inlineStr">
        <is>
          <t>NA</t>
        </is>
      </c>
      <c r="Q342" s="13" t="inlineStr">
        <is>
          <t>NA</t>
        </is>
      </c>
      <c r="R342" s="7" t="n">
        <v>5590</v>
      </c>
      <c r="S342" s="7">
        <f>IFERROR($R342/$G342,"")</f>
        <v/>
      </c>
      <c r="T342" s="7" t="inlineStr">
        <is>
          <t>NA</t>
        </is>
      </c>
      <c r="U342" s="7" t="inlineStr">
        <is>
          <t>NA</t>
        </is>
      </c>
      <c r="V342" s="7" t="inlineStr">
        <is>
          <t>NA</t>
        </is>
      </c>
      <c r="W342" s="9">
        <f>IF(ISNUMBER($T342),$T342*$J342*Assumptions!$B$4,"NA")</f>
        <v/>
      </c>
      <c r="X342" s="9">
        <f>IF(ISNUMBER($U342),$U342*$J342*Assumptions!$B$4,"NA")</f>
        <v/>
      </c>
      <c r="Y342" s="9">
        <f>IF(ISNUMBER($V342),$V342*$J342*Assumptions!$B$4,"NA")</f>
        <v/>
      </c>
    </row>
    <row r="343">
      <c r="A343" s="5" t="inlineStr">
        <is>
          <t>SSB Unit</t>
        </is>
      </c>
      <c r="B343" s="11" t="inlineStr">
        <is>
          <t>Tanks and service modules</t>
        </is>
      </c>
      <c r="C343" s="5" t="inlineStr">
        <is>
          <t>Orica Singapore Private Ltd</t>
        </is>
      </c>
      <c r="D343" s="5" t="inlineStr">
        <is>
          <t>Contractor</t>
        </is>
      </c>
      <c r="E343" s="5" t="inlineStr">
        <is>
          <t>Singapore</t>
        </is>
      </c>
      <c r="F343" s="5" t="n">
        <v>2025</v>
      </c>
      <c r="G343" s="5" t="n">
        <v>1</v>
      </c>
      <c r="H343" s="7" t="n">
        <v>38186</v>
      </c>
      <c r="I343" s="5" t="inlineStr">
        <is>
          <t>USD</t>
        </is>
      </c>
      <c r="J343" s="8">
        <f>IF($I343="AUD",Assumptions!$B$2,Assumptions!$B$3)</f>
        <v/>
      </c>
      <c r="K343" s="9">
        <f>$G343*$H343*$J343</f>
        <v/>
      </c>
      <c r="L343" s="9">
        <f>$K343*Assumptions!$B$4</f>
        <v/>
      </c>
      <c r="M343" s="9">
        <f>RawTx[[#This Row],[Value USD]]/RawTx[[#This Row],[Quantity]]</f>
        <v/>
      </c>
      <c r="N343" s="9">
        <f>RawTx[[#This Row],[Value IDR]]/RawTx[[#This Row],[Quantity]]</f>
        <v/>
      </c>
      <c r="O343" s="4" t="inlineStr">
        <is>
          <t>BODY,TANK:SODIUM CYANIDE SPARGE TANK; SN UNIT:</t>
        </is>
      </c>
      <c r="P343" s="5" t="inlineStr">
        <is>
          <t>NA</t>
        </is>
      </c>
      <c r="Q343" s="13" t="inlineStr">
        <is>
          <t>NA</t>
        </is>
      </c>
      <c r="R343" s="7" t="n">
        <v>5570</v>
      </c>
      <c r="S343" s="7">
        <f>IFERROR($R343/$G343,"")</f>
        <v/>
      </c>
      <c r="T343" s="7" t="inlineStr">
        <is>
          <t>NA</t>
        </is>
      </c>
      <c r="U343" s="7" t="inlineStr">
        <is>
          <t>NA</t>
        </is>
      </c>
      <c r="V343" s="7" t="inlineStr">
        <is>
          <t>NA</t>
        </is>
      </c>
      <c r="W343" s="9">
        <f>IF(ISNUMBER($T343),$T343*$J343*Assumptions!$B$4,"NA")</f>
        <v/>
      </c>
      <c r="X343" s="9">
        <f>IF(ISNUMBER($U343),$U343*$J343*Assumptions!$B$4,"NA")</f>
        <v/>
      </c>
      <c r="Y343" s="9">
        <f>IF(ISNUMBER($V343),$V343*$J343*Assumptions!$B$4,"NA")</f>
        <v/>
      </c>
    </row>
    <row r="344">
      <c r="A344" s="5" t="inlineStr">
        <is>
          <t>SSB Unit</t>
        </is>
      </c>
      <c r="B344" s="11" t="inlineStr">
        <is>
          <t>Tanks and service modules</t>
        </is>
      </c>
      <c r="C344" s="5" t="inlineStr">
        <is>
          <t>Orica Singapore Private Ltd</t>
        </is>
      </c>
      <c r="D344" s="5" t="inlineStr">
        <is>
          <t>Contractor</t>
        </is>
      </c>
      <c r="E344" s="5" t="inlineStr">
        <is>
          <t>Singapore</t>
        </is>
      </c>
      <c r="F344" s="5" t="n">
        <v>2025</v>
      </c>
      <c r="G344" s="5" t="n">
        <v>1</v>
      </c>
      <c r="H344" s="7" t="n">
        <v>38186</v>
      </c>
      <c r="I344" s="5" t="inlineStr">
        <is>
          <t>USD</t>
        </is>
      </c>
      <c r="J344" s="8">
        <f>IF($I344="AUD",Assumptions!$B$2,Assumptions!$B$3)</f>
        <v/>
      </c>
      <c r="K344" s="9">
        <f>$G344*$H344*$J344</f>
        <v/>
      </c>
      <c r="L344" s="9">
        <f>$K344*Assumptions!$B$4</f>
        <v/>
      </c>
      <c r="M344" s="9">
        <f>RawTx[[#This Row],[Value USD]]/RawTx[[#This Row],[Quantity]]</f>
        <v/>
      </c>
      <c r="N344" s="9">
        <f>RawTx[[#This Row],[Value IDR]]/RawTx[[#This Row],[Quantity]]</f>
        <v/>
      </c>
      <c r="O344" s="4" t="inlineStr">
        <is>
          <t>BODY,TANK:SODIUM CYANIDE SPARGE TANK; SN UNIT:</t>
        </is>
      </c>
      <c r="P344" s="5" t="inlineStr">
        <is>
          <t>NA</t>
        </is>
      </c>
      <c r="Q344" s="13" t="inlineStr">
        <is>
          <t>NA</t>
        </is>
      </c>
      <c r="R344" s="7" t="n">
        <v>5570</v>
      </c>
      <c r="S344" s="7">
        <f>IFERROR($R344/$G344,"")</f>
        <v/>
      </c>
      <c r="T344" s="7" t="inlineStr">
        <is>
          <t>NA</t>
        </is>
      </c>
      <c r="U344" s="7" t="inlineStr">
        <is>
          <t>NA</t>
        </is>
      </c>
      <c r="V344" s="7" t="inlineStr">
        <is>
          <t>NA</t>
        </is>
      </c>
      <c r="W344" s="9">
        <f>IF(ISNUMBER($T344),$T344*$J344*Assumptions!$B$4,"NA")</f>
        <v/>
      </c>
      <c r="X344" s="9">
        <f>IF(ISNUMBER($U344),$U344*$J344*Assumptions!$B$4,"NA")</f>
        <v/>
      </c>
      <c r="Y344" s="9">
        <f>IF(ISNUMBER($V344),$V344*$J344*Assumptions!$B$4,"NA")</f>
        <v/>
      </c>
    </row>
    <row r="345">
      <c r="A345" s="5" t="inlineStr">
        <is>
          <t>SSB Unit</t>
        </is>
      </c>
      <c r="B345" s="11" t="inlineStr">
        <is>
          <t>Tanks and service modules</t>
        </is>
      </c>
      <c r="C345" s="5" t="inlineStr">
        <is>
          <t>Orica Singapore Private Ltd</t>
        </is>
      </c>
      <c r="D345" s="5" t="inlineStr">
        <is>
          <t>Contractor</t>
        </is>
      </c>
      <c r="E345" s="5" t="inlineStr">
        <is>
          <t>Singapore</t>
        </is>
      </c>
      <c r="F345" s="5" t="n">
        <v>2025</v>
      </c>
      <c r="G345" s="5" t="n">
        <v>1</v>
      </c>
      <c r="H345" s="7" t="n">
        <v>38186</v>
      </c>
      <c r="I345" s="5" t="inlineStr">
        <is>
          <t>USD</t>
        </is>
      </c>
      <c r="J345" s="8">
        <f>IF($I345="AUD",Assumptions!$B$2,Assumptions!$B$3)</f>
        <v/>
      </c>
      <c r="K345" s="9">
        <f>$G345*$H345*$J345</f>
        <v/>
      </c>
      <c r="L345" s="9">
        <f>$K345*Assumptions!$B$4</f>
        <v/>
      </c>
      <c r="M345" s="9">
        <f>RawTx[[#This Row],[Value USD]]/RawTx[[#This Row],[Quantity]]</f>
        <v/>
      </c>
      <c r="N345" s="9">
        <f>RawTx[[#This Row],[Value IDR]]/RawTx[[#This Row],[Quantity]]</f>
        <v/>
      </c>
      <c r="O345" s="4" t="inlineStr">
        <is>
          <t>BODY,TANK:SODIUM CYANIDE SPARGE TANK; SN UNIT:</t>
        </is>
      </c>
      <c r="P345" s="5" t="inlineStr">
        <is>
          <t>NA</t>
        </is>
      </c>
      <c r="Q345" s="13" t="inlineStr">
        <is>
          <t>NA</t>
        </is>
      </c>
      <c r="R345" s="7" t="n">
        <v>5520</v>
      </c>
      <c r="S345" s="7">
        <f>IFERROR($R345/$G345,"")</f>
        <v/>
      </c>
      <c r="T345" s="7" t="inlineStr">
        <is>
          <t>NA</t>
        </is>
      </c>
      <c r="U345" s="7" t="inlineStr">
        <is>
          <t>NA</t>
        </is>
      </c>
      <c r="V345" s="7" t="inlineStr">
        <is>
          <t>NA</t>
        </is>
      </c>
      <c r="W345" s="9">
        <f>IF(ISNUMBER($T345),$T345*$J345*Assumptions!$B$4,"NA")</f>
        <v/>
      </c>
      <c r="X345" s="9">
        <f>IF(ISNUMBER($U345),$U345*$J345*Assumptions!$B$4,"NA")</f>
        <v/>
      </c>
      <c r="Y345" s="9">
        <f>IF(ISNUMBER($V345),$V345*$J345*Assumptions!$B$4,"NA")</f>
        <v/>
      </c>
    </row>
    <row r="346">
      <c r="A346" s="5" t="inlineStr">
        <is>
          <t>SSB Unit</t>
        </is>
      </c>
      <c r="B346" s="11" t="inlineStr">
        <is>
          <t>Tanks and service modules</t>
        </is>
      </c>
      <c r="C346" s="5" t="inlineStr">
        <is>
          <t>Orica Singapore Private Ltd</t>
        </is>
      </c>
      <c r="D346" s="5" t="inlineStr">
        <is>
          <t>Contractor</t>
        </is>
      </c>
      <c r="E346" s="5" t="inlineStr">
        <is>
          <t>Singapore</t>
        </is>
      </c>
      <c r="F346" s="5" t="n">
        <v>2025</v>
      </c>
      <c r="G346" s="5" t="n">
        <v>1</v>
      </c>
      <c r="H346" s="7" t="n">
        <v>38186</v>
      </c>
      <c r="I346" s="5" t="inlineStr">
        <is>
          <t>USD</t>
        </is>
      </c>
      <c r="J346" s="8">
        <f>IF($I346="AUD",Assumptions!$B$2,Assumptions!$B$3)</f>
        <v/>
      </c>
      <c r="K346" s="9">
        <f>$G346*$H346*$J346</f>
        <v/>
      </c>
      <c r="L346" s="9">
        <f>$K346*Assumptions!$B$4</f>
        <v/>
      </c>
      <c r="M346" s="9">
        <f>RawTx[[#This Row],[Value USD]]/RawTx[[#This Row],[Quantity]]</f>
        <v/>
      </c>
      <c r="N346" s="9">
        <f>RawTx[[#This Row],[Value IDR]]/RawTx[[#This Row],[Quantity]]</f>
        <v/>
      </c>
      <c r="O346" s="4" t="inlineStr">
        <is>
          <t>BODY, TANK:SODIUM CYANIDE SPARGE TANK; SN UNIT</t>
        </is>
      </c>
      <c r="P346" s="5" t="inlineStr">
        <is>
          <t>NA</t>
        </is>
      </c>
      <c r="Q346" s="13" t="inlineStr">
        <is>
          <t>NA</t>
        </is>
      </c>
      <c r="R346" s="7" t="n">
        <v>5430</v>
      </c>
      <c r="S346" s="7">
        <f>IFERROR($R346/$G346,"")</f>
        <v/>
      </c>
      <c r="T346" s="7" t="inlineStr">
        <is>
          <t>NA</t>
        </is>
      </c>
      <c r="U346" s="7" t="inlineStr">
        <is>
          <t>NA</t>
        </is>
      </c>
      <c r="V346" s="7" t="inlineStr">
        <is>
          <t>NA</t>
        </is>
      </c>
      <c r="W346" s="9">
        <f>IF(ISNUMBER($T346),$T346*$J346*Assumptions!$B$4,"NA")</f>
        <v/>
      </c>
      <c r="X346" s="9">
        <f>IF(ISNUMBER($U346),$U346*$J346*Assumptions!$B$4,"NA")</f>
        <v/>
      </c>
      <c r="Y346" s="9">
        <f>IF(ISNUMBER($V346),$V346*$J346*Assumptions!$B$4,"NA")</f>
        <v/>
      </c>
    </row>
    <row r="347">
      <c r="A347" s="5" t="inlineStr">
        <is>
          <t>SSB Unit</t>
        </is>
      </c>
      <c r="B347" s="11" t="inlineStr">
        <is>
          <t>Tanks and service modules</t>
        </is>
      </c>
      <c r="C347" s="5" t="inlineStr">
        <is>
          <t>Orica Singapore Private Ltd</t>
        </is>
      </c>
      <c r="D347" s="5" t="inlineStr">
        <is>
          <t>Contractor</t>
        </is>
      </c>
      <c r="E347" s="5" t="inlineStr">
        <is>
          <t>Singapore</t>
        </is>
      </c>
      <c r="F347" s="5" t="n">
        <v>2025</v>
      </c>
      <c r="G347" s="5" t="n">
        <v>1</v>
      </c>
      <c r="H347" s="7" t="n">
        <v>38186</v>
      </c>
      <c r="I347" s="5" t="inlineStr">
        <is>
          <t>USD</t>
        </is>
      </c>
      <c r="J347" s="8">
        <f>IF($I347="AUD",Assumptions!$B$2,Assumptions!$B$3)</f>
        <v/>
      </c>
      <c r="K347" s="9">
        <f>$G347*$H347*$J347</f>
        <v/>
      </c>
      <c r="L347" s="9">
        <f>$K347*Assumptions!$B$4</f>
        <v/>
      </c>
      <c r="M347" s="9">
        <f>RawTx[[#This Row],[Value USD]]/RawTx[[#This Row],[Quantity]]</f>
        <v/>
      </c>
      <c r="N347" s="9">
        <f>RawTx[[#This Row],[Value IDR]]/RawTx[[#This Row],[Quantity]]</f>
        <v/>
      </c>
      <c r="O347" s="4" t="inlineStr">
        <is>
          <t>BODY, TANK:SODIUM CYANIDE SPARGE TANK; SN UNIT</t>
        </is>
      </c>
      <c r="P347" s="5" t="inlineStr">
        <is>
          <t>NA</t>
        </is>
      </c>
      <c r="Q347" s="13" t="inlineStr">
        <is>
          <t>NA</t>
        </is>
      </c>
      <c r="R347" s="7" t="n">
        <v>5440</v>
      </c>
      <c r="S347" s="7">
        <f>IFERROR($R347/$G347,"")</f>
        <v/>
      </c>
      <c r="T347" s="7" t="inlineStr">
        <is>
          <t>NA</t>
        </is>
      </c>
      <c r="U347" s="7" t="inlineStr">
        <is>
          <t>NA</t>
        </is>
      </c>
      <c r="V347" s="7" t="inlineStr">
        <is>
          <t>NA</t>
        </is>
      </c>
      <c r="W347" s="9">
        <f>IF(ISNUMBER($T347),$T347*$J347*Assumptions!$B$4,"NA")</f>
        <v/>
      </c>
      <c r="X347" s="9">
        <f>IF(ISNUMBER($U347),$U347*$J347*Assumptions!$B$4,"NA")</f>
        <v/>
      </c>
      <c r="Y347" s="9">
        <f>IF(ISNUMBER($V347),$V347*$J347*Assumptions!$B$4,"NA")</f>
        <v/>
      </c>
    </row>
    <row r="348">
      <c r="A348" s="5" t="inlineStr">
        <is>
          <t>SSB Unit</t>
        </is>
      </c>
      <c r="B348" s="11" t="inlineStr">
        <is>
          <t>Tanks and service modules</t>
        </is>
      </c>
      <c r="C348" s="5" t="inlineStr">
        <is>
          <t>Orica Singapore Private Ltd</t>
        </is>
      </c>
      <c r="D348" s="5" t="inlineStr">
        <is>
          <t>Contractor</t>
        </is>
      </c>
      <c r="E348" s="5" t="inlineStr">
        <is>
          <t>Singapore</t>
        </is>
      </c>
      <c r="F348" s="5" t="n">
        <v>2025</v>
      </c>
      <c r="G348" s="5" t="n">
        <v>1</v>
      </c>
      <c r="H348" s="7" t="n">
        <v>38186</v>
      </c>
      <c r="I348" s="5" t="inlineStr">
        <is>
          <t>USD</t>
        </is>
      </c>
      <c r="J348" s="8">
        <f>IF($I348="AUD",Assumptions!$B$2,Assumptions!$B$3)</f>
        <v/>
      </c>
      <c r="K348" s="9">
        <f>$G348*$H348*$J348</f>
        <v/>
      </c>
      <c r="L348" s="9">
        <f>$K348*Assumptions!$B$4</f>
        <v/>
      </c>
      <c r="M348" s="9">
        <f>RawTx[[#This Row],[Value USD]]/RawTx[[#This Row],[Quantity]]</f>
        <v/>
      </c>
      <c r="N348" s="9">
        <f>RawTx[[#This Row],[Value IDR]]/RawTx[[#This Row],[Quantity]]</f>
        <v/>
      </c>
      <c r="O348" s="4" t="inlineStr">
        <is>
          <t>BODY, TANK:SODIUM CYANIDE SPARGE TANK; SN UNIT</t>
        </is>
      </c>
      <c r="P348" s="5" t="inlineStr">
        <is>
          <t>NA</t>
        </is>
      </c>
      <c r="Q348" s="13" t="inlineStr">
        <is>
          <t>NA</t>
        </is>
      </c>
      <c r="R348" s="7" t="n">
        <v>5450</v>
      </c>
      <c r="S348" s="7">
        <f>IFERROR($R348/$G348,"")</f>
        <v/>
      </c>
      <c r="T348" s="7" t="inlineStr">
        <is>
          <t>NA</t>
        </is>
      </c>
      <c r="U348" s="7" t="inlineStr">
        <is>
          <t>NA</t>
        </is>
      </c>
      <c r="V348" s="7" t="inlineStr">
        <is>
          <t>NA</t>
        </is>
      </c>
      <c r="W348" s="9">
        <f>IF(ISNUMBER($T348),$T348*$J348*Assumptions!$B$4,"NA")</f>
        <v/>
      </c>
      <c r="X348" s="9">
        <f>IF(ISNUMBER($U348),$U348*$J348*Assumptions!$B$4,"NA")</f>
        <v/>
      </c>
      <c r="Y348" s="9">
        <f>IF(ISNUMBER($V348),$V348*$J348*Assumptions!$B$4,"NA")</f>
        <v/>
      </c>
    </row>
    <row r="349">
      <c r="A349" s="5" t="inlineStr">
        <is>
          <t>SSB Unit</t>
        </is>
      </c>
      <c r="B349" s="11" t="inlineStr">
        <is>
          <t>Tanks and service modules</t>
        </is>
      </c>
      <c r="C349" s="5" t="inlineStr">
        <is>
          <t>Orica Singapore Private Ltd</t>
        </is>
      </c>
      <c r="D349" s="5" t="inlineStr">
        <is>
          <t>Contractor</t>
        </is>
      </c>
      <c r="E349" s="5" t="inlineStr">
        <is>
          <t>Singapore</t>
        </is>
      </c>
      <c r="F349" s="5" t="n">
        <v>2025</v>
      </c>
      <c r="G349" s="5" t="n">
        <v>1</v>
      </c>
      <c r="H349" s="7" t="n">
        <v>38186</v>
      </c>
      <c r="I349" s="5" t="inlineStr">
        <is>
          <t>USD</t>
        </is>
      </c>
      <c r="J349" s="8">
        <f>IF($I349="AUD",Assumptions!$B$2,Assumptions!$B$3)</f>
        <v/>
      </c>
      <c r="K349" s="9">
        <f>$G349*$H349*$J349</f>
        <v/>
      </c>
      <c r="L349" s="9">
        <f>$K349*Assumptions!$B$4</f>
        <v/>
      </c>
      <c r="M349" s="9">
        <f>RawTx[[#This Row],[Value USD]]/RawTx[[#This Row],[Quantity]]</f>
        <v/>
      </c>
      <c r="N349" s="9">
        <f>RawTx[[#This Row],[Value IDR]]/RawTx[[#This Row],[Quantity]]</f>
        <v/>
      </c>
      <c r="O349" s="4" t="inlineStr">
        <is>
          <t>BODY, TANK:SODIUM CYANIDE SPARGE TANK; SN UNIT</t>
        </is>
      </c>
      <c r="P349" s="5" t="inlineStr">
        <is>
          <t>NA</t>
        </is>
      </c>
      <c r="Q349" s="13" t="inlineStr">
        <is>
          <t>NA</t>
        </is>
      </c>
      <c r="R349" s="7" t="n">
        <v>5470</v>
      </c>
      <c r="S349" s="7">
        <f>IFERROR($R349/$G349,"")</f>
        <v/>
      </c>
      <c r="T349" s="7" t="inlineStr">
        <is>
          <t>NA</t>
        </is>
      </c>
      <c r="U349" s="7" t="inlineStr">
        <is>
          <t>NA</t>
        </is>
      </c>
      <c r="V349" s="7" t="inlineStr">
        <is>
          <t>NA</t>
        </is>
      </c>
      <c r="W349" s="9">
        <f>IF(ISNUMBER($T349),$T349*$J349*Assumptions!$B$4,"NA")</f>
        <v/>
      </c>
      <c r="X349" s="9">
        <f>IF(ISNUMBER($U349),$U349*$J349*Assumptions!$B$4,"NA")</f>
        <v/>
      </c>
      <c r="Y349" s="9">
        <f>IF(ISNUMBER($V349),$V349*$J349*Assumptions!$B$4,"NA")</f>
        <v/>
      </c>
    </row>
    <row r="350">
      <c r="A350" s="5" t="inlineStr">
        <is>
          <t>SSB Unit</t>
        </is>
      </c>
      <c r="B350" s="11" t="inlineStr">
        <is>
          <t>Tanks and service modules</t>
        </is>
      </c>
      <c r="C350" s="5" t="inlineStr">
        <is>
          <t>Orica Singapore Private Ltd</t>
        </is>
      </c>
      <c r="D350" s="5" t="inlineStr">
        <is>
          <t>Contractor</t>
        </is>
      </c>
      <c r="E350" s="5" t="inlineStr">
        <is>
          <t>Singapore</t>
        </is>
      </c>
      <c r="F350" s="5" t="n">
        <v>2025</v>
      </c>
      <c r="G350" s="5" t="n">
        <v>1</v>
      </c>
      <c r="H350" s="7" t="n">
        <v>38186</v>
      </c>
      <c r="I350" s="5" t="inlineStr">
        <is>
          <t>USD</t>
        </is>
      </c>
      <c r="J350" s="8">
        <f>IF($I350="AUD",Assumptions!$B$2,Assumptions!$B$3)</f>
        <v/>
      </c>
      <c r="K350" s="9">
        <f>$G350*$H350*$J350</f>
        <v/>
      </c>
      <c r="L350" s="9">
        <f>$K350*Assumptions!$B$4</f>
        <v/>
      </c>
      <c r="M350" s="9">
        <f>RawTx[[#This Row],[Value USD]]/RawTx[[#This Row],[Quantity]]</f>
        <v/>
      </c>
      <c r="N350" s="9">
        <f>RawTx[[#This Row],[Value IDR]]/RawTx[[#This Row],[Quantity]]</f>
        <v/>
      </c>
      <c r="O350" s="4" t="inlineStr">
        <is>
          <t>BODY, TANK:SODIUM CYANIDE SPARGE TANK; SN UNIT</t>
        </is>
      </c>
      <c r="P350" s="5" t="inlineStr">
        <is>
          <t>NA</t>
        </is>
      </c>
      <c r="Q350" s="13" t="inlineStr">
        <is>
          <t>NA</t>
        </is>
      </c>
      <c r="R350" s="7" t="n">
        <v>5310</v>
      </c>
      <c r="S350" s="7">
        <f>IFERROR($R350/$G350,"")</f>
        <v/>
      </c>
      <c r="T350" s="7" t="inlineStr">
        <is>
          <t>NA</t>
        </is>
      </c>
      <c r="U350" s="7" t="inlineStr">
        <is>
          <t>NA</t>
        </is>
      </c>
      <c r="V350" s="7" t="inlineStr">
        <is>
          <t>NA</t>
        </is>
      </c>
      <c r="W350" s="9">
        <f>IF(ISNUMBER($T350),$T350*$J350*Assumptions!$B$4,"NA")</f>
        <v/>
      </c>
      <c r="X350" s="9">
        <f>IF(ISNUMBER($U350),$U350*$J350*Assumptions!$B$4,"NA")</f>
        <v/>
      </c>
      <c r="Y350" s="9">
        <f>IF(ISNUMBER($V350),$V350*$J350*Assumptions!$B$4,"NA")</f>
        <v/>
      </c>
    </row>
    <row r="351">
      <c r="A351" s="5" t="inlineStr">
        <is>
          <t>SSB Unit</t>
        </is>
      </c>
      <c r="B351" s="11" t="inlineStr">
        <is>
          <t>Tanks and service modules</t>
        </is>
      </c>
      <c r="C351" s="5" t="inlineStr">
        <is>
          <t>Orica Singapore Private Ltd</t>
        </is>
      </c>
      <c r="D351" s="5" t="inlineStr">
        <is>
          <t>Contractor</t>
        </is>
      </c>
      <c r="E351" s="5" t="inlineStr">
        <is>
          <t>Singapore</t>
        </is>
      </c>
      <c r="F351" s="5" t="n">
        <v>2025</v>
      </c>
      <c r="G351" s="5" t="n">
        <v>1</v>
      </c>
      <c r="H351" s="7" t="n">
        <v>38186</v>
      </c>
      <c r="I351" s="5" t="inlineStr">
        <is>
          <t>USD</t>
        </is>
      </c>
      <c r="J351" s="8">
        <f>IF($I351="AUD",Assumptions!$B$2,Assumptions!$B$3)</f>
        <v/>
      </c>
      <c r="K351" s="9">
        <f>$G351*$H351*$J351</f>
        <v/>
      </c>
      <c r="L351" s="9">
        <f>$K351*Assumptions!$B$4</f>
        <v/>
      </c>
      <c r="M351" s="9">
        <f>RawTx[[#This Row],[Value USD]]/RawTx[[#This Row],[Quantity]]</f>
        <v/>
      </c>
      <c r="N351" s="9">
        <f>RawTx[[#This Row],[Value IDR]]/RawTx[[#This Row],[Quantity]]</f>
        <v/>
      </c>
      <c r="O351" s="4" t="inlineStr">
        <is>
          <t>BODY, TANK;SODIUM CYANIDE SPARGE TANK; SN UNIT</t>
        </is>
      </c>
      <c r="P351" s="5" t="inlineStr">
        <is>
          <t>NA</t>
        </is>
      </c>
      <c r="Q351" s="13" t="inlineStr">
        <is>
          <t>NA</t>
        </is>
      </c>
      <c r="R351" s="7" t="n">
        <v>5430</v>
      </c>
      <c r="S351" s="7">
        <f>IFERROR($R351/$G351,"")</f>
        <v/>
      </c>
      <c r="T351" s="7" t="inlineStr">
        <is>
          <t>NA</t>
        </is>
      </c>
      <c r="U351" s="7" t="inlineStr">
        <is>
          <t>NA</t>
        </is>
      </c>
      <c r="V351" s="7" t="inlineStr">
        <is>
          <t>NA</t>
        </is>
      </c>
      <c r="W351" s="9">
        <f>IF(ISNUMBER($T351),$T351*$J351*Assumptions!$B$4,"NA")</f>
        <v/>
      </c>
      <c r="X351" s="9">
        <f>IF(ISNUMBER($U351),$U351*$J351*Assumptions!$B$4,"NA")</f>
        <v/>
      </c>
      <c r="Y351" s="9">
        <f>IF(ISNUMBER($V351),$V351*$J351*Assumptions!$B$4,"NA")</f>
        <v/>
      </c>
    </row>
    <row r="352">
      <c r="A352" s="5" t="inlineStr">
        <is>
          <t>SSB Unit</t>
        </is>
      </c>
      <c r="B352" s="11" t="inlineStr">
        <is>
          <t>Tanks and service modules</t>
        </is>
      </c>
      <c r="C352" s="5" t="inlineStr">
        <is>
          <t>Orica Singapore Private Ltd</t>
        </is>
      </c>
      <c r="D352" s="5" t="inlineStr">
        <is>
          <t>Contractor</t>
        </is>
      </c>
      <c r="E352" s="5" t="inlineStr">
        <is>
          <t>Singapore</t>
        </is>
      </c>
      <c r="F352" s="5" t="n">
        <v>2026</v>
      </c>
      <c r="G352" s="5" t="n">
        <v>1</v>
      </c>
      <c r="H352" s="7" t="n">
        <v>15780</v>
      </c>
      <c r="I352" s="5" t="inlineStr">
        <is>
          <t>USD</t>
        </is>
      </c>
      <c r="J352" s="8">
        <f>IF($I352="AUD",Assumptions!$B$2,Assumptions!$B$3)</f>
        <v/>
      </c>
      <c r="K352" s="9">
        <f>$G352*$H352*$J352</f>
        <v/>
      </c>
      <c r="L352" s="9">
        <f>$K352*Assumptions!$B$4</f>
        <v/>
      </c>
      <c r="M352" s="9">
        <f>RawTx[[#This Row],[Value USD]]/RawTx[[#This Row],[Quantity]]</f>
        <v/>
      </c>
      <c r="N352" s="9">
        <f>RawTx[[#This Row],[Value IDR]]/RawTx[[#This Row],[Quantity]]</f>
        <v/>
      </c>
      <c r="O352" s="4" t="inlineStr">
        <is>
          <t>ISOTANK OAYU 1147000 (REFURBISH) STOCK CODE : SB</t>
        </is>
      </c>
      <c r="P352" s="5" t="inlineStr">
        <is>
          <t>NA</t>
        </is>
      </c>
      <c r="Q352" s="13" t="inlineStr">
        <is>
          <t>NA</t>
        </is>
      </c>
      <c r="R352" s="7" t="n">
        <v>5630</v>
      </c>
      <c r="S352" s="7">
        <f>IFERROR($R352/$G352,"")</f>
        <v/>
      </c>
      <c r="T352" s="7" t="inlineStr">
        <is>
          <t>NA</t>
        </is>
      </c>
      <c r="U352" s="7" t="inlineStr">
        <is>
          <t>NA</t>
        </is>
      </c>
      <c r="V352" s="7" t="inlineStr">
        <is>
          <t>NA</t>
        </is>
      </c>
      <c r="W352" s="9">
        <f>IF(ISNUMBER($T352),$T352*$J352*Assumptions!$B$4,"NA")</f>
        <v/>
      </c>
      <c r="X352" s="9">
        <f>IF(ISNUMBER($U352),$U352*$J352*Assumptions!$B$4,"NA")</f>
        <v/>
      </c>
      <c r="Y352" s="9">
        <f>IF(ISNUMBER($V352),$V352*$J352*Assumptions!$B$4,"NA")</f>
        <v/>
      </c>
    </row>
    <row r="353">
      <c r="A353" s="5" t="inlineStr">
        <is>
          <t>SSB Unit</t>
        </is>
      </c>
      <c r="B353" s="11" t="inlineStr">
        <is>
          <t>Tanks and service modules</t>
        </is>
      </c>
      <c r="C353" s="5" t="inlineStr">
        <is>
          <t>Orica Singapore Private Ltd</t>
        </is>
      </c>
      <c r="D353" s="5" t="inlineStr">
        <is>
          <t>Contractor</t>
        </is>
      </c>
      <c r="E353" s="5" t="inlineStr">
        <is>
          <t>Singapore</t>
        </is>
      </c>
      <c r="F353" s="5" t="n">
        <v>2026</v>
      </c>
      <c r="G353" s="5" t="n">
        <v>1</v>
      </c>
      <c r="H353" s="7" t="n">
        <v>15780</v>
      </c>
      <c r="I353" s="5" t="inlineStr">
        <is>
          <t>USD</t>
        </is>
      </c>
      <c r="J353" s="8">
        <f>IF($I353="AUD",Assumptions!$B$2,Assumptions!$B$3)</f>
        <v/>
      </c>
      <c r="K353" s="9">
        <f>$G353*$H353*$J353</f>
        <v/>
      </c>
      <c r="L353" s="9">
        <f>$K353*Assumptions!$B$4</f>
        <v/>
      </c>
      <c r="M353" s="9">
        <f>RawTx[[#This Row],[Value USD]]/RawTx[[#This Row],[Quantity]]</f>
        <v/>
      </c>
      <c r="N353" s="9">
        <f>RawTx[[#This Row],[Value IDR]]/RawTx[[#This Row],[Quantity]]</f>
        <v/>
      </c>
      <c r="O353" s="4" t="inlineStr">
        <is>
          <t>ISOTANK OAYU 1147000 (REFURBISH) STOCK CODE : SB</t>
        </is>
      </c>
      <c r="P353" s="5" t="inlineStr">
        <is>
          <t>NA</t>
        </is>
      </c>
      <c r="Q353" s="13" t="inlineStr">
        <is>
          <t>NA</t>
        </is>
      </c>
      <c r="R353" s="7" t="n">
        <v>5630</v>
      </c>
      <c r="S353" s="7">
        <f>IFERROR($R353/$G353,"")</f>
        <v/>
      </c>
      <c r="T353" s="7" t="inlineStr">
        <is>
          <t>NA</t>
        </is>
      </c>
      <c r="U353" s="7" t="inlineStr">
        <is>
          <t>NA</t>
        </is>
      </c>
      <c r="V353" s="7" t="inlineStr">
        <is>
          <t>NA</t>
        </is>
      </c>
      <c r="W353" s="9">
        <f>IF(ISNUMBER($T353),$T353*$J353*Assumptions!$B$4,"NA")</f>
        <v/>
      </c>
      <c r="X353" s="9">
        <f>IF(ISNUMBER($U353),$U353*$J353*Assumptions!$B$4,"NA")</f>
        <v/>
      </c>
      <c r="Y353" s="9">
        <f>IF(ISNUMBER($V353),$V353*$J353*Assumptions!$B$4,"NA")</f>
        <v/>
      </c>
    </row>
    <row r="354">
      <c r="A354" s="5" t="inlineStr">
        <is>
          <t>SSB Unit</t>
        </is>
      </c>
      <c r="B354" s="11" t="inlineStr">
        <is>
          <t>Tanks and service modules</t>
        </is>
      </c>
      <c r="C354" s="5" t="inlineStr">
        <is>
          <t>Orica Australia Pty Limited</t>
        </is>
      </c>
      <c r="D354" s="5" t="inlineStr">
        <is>
          <t>Contractor</t>
        </is>
      </c>
      <c r="E354" s="5" t="inlineStr">
        <is>
          <t>Australia</t>
        </is>
      </c>
      <c r="F354" s="5" t="n">
        <v>2026</v>
      </c>
      <c r="G354" s="5" t="n">
        <v>1</v>
      </c>
      <c r="H354" s="7" t="n">
        <v>38186</v>
      </c>
      <c r="I354" s="5" t="inlineStr">
        <is>
          <t>USD</t>
        </is>
      </c>
      <c r="J354" s="8">
        <f>IF($I354="AUD",Assumptions!$B$2,Assumptions!$B$3)</f>
        <v/>
      </c>
      <c r="K354" s="9">
        <f>$G354*$H354*$J354</f>
        <v/>
      </c>
      <c r="L354" s="9">
        <f>$K354*Assumptions!$B$4</f>
        <v/>
      </c>
      <c r="M354" s="9">
        <f>RawTx[[#This Row],[Value USD]]/RawTx[[#This Row],[Quantity]]</f>
        <v/>
      </c>
      <c r="N354" s="9">
        <f>RawTx[[#This Row],[Value IDR]]/RawTx[[#This Row],[Quantity]]</f>
        <v/>
      </c>
      <c r="O354" s="4" t="inlineStr">
        <is>
          <t>EMPTY CLEAN ISOTANK SPARGE; UNIT IDENTITY :SN UI</t>
        </is>
      </c>
      <c r="P354" s="5" t="inlineStr">
        <is>
          <t>NA</t>
        </is>
      </c>
      <c r="Q354" s="13" t="inlineStr">
        <is>
          <t>NA</t>
        </is>
      </c>
      <c r="R354" s="7" t="n">
        <v>27990</v>
      </c>
      <c r="S354" s="7">
        <f>IFERROR($R354/$G354,"")</f>
        <v/>
      </c>
      <c r="T354" s="7" t="inlineStr">
        <is>
          <t>NA</t>
        </is>
      </c>
      <c r="U354" s="7" t="inlineStr">
        <is>
          <t>NA</t>
        </is>
      </c>
      <c r="V354" s="7" t="inlineStr">
        <is>
          <t>NA</t>
        </is>
      </c>
      <c r="W354" s="9">
        <f>IF(ISNUMBER($T354),$T354*$J354*Assumptions!$B$4,"NA")</f>
        <v/>
      </c>
      <c r="X354" s="9">
        <f>IF(ISNUMBER($U354),$U354*$J354*Assumptions!$B$4,"NA")</f>
        <v/>
      </c>
      <c r="Y354" s="9">
        <f>IF(ISNUMBER($V354),$V354*$J354*Assumptions!$B$4,"NA")</f>
        <v/>
      </c>
    </row>
    <row r="355">
      <c r="A355" s="5" t="inlineStr">
        <is>
          <t>SSB Unit</t>
        </is>
      </c>
      <c r="B355" s="11" t="inlineStr">
        <is>
          <t>Tanks and service modules</t>
        </is>
      </c>
      <c r="C355" s="5" t="inlineStr">
        <is>
          <t>Orica Australia Pty Limited</t>
        </is>
      </c>
      <c r="D355" s="5" t="inlineStr">
        <is>
          <t>Contractor</t>
        </is>
      </c>
      <c r="E355" s="5" t="inlineStr">
        <is>
          <t>Australia</t>
        </is>
      </c>
      <c r="F355" s="5" t="n">
        <v>2026</v>
      </c>
      <c r="G355" s="5" t="n">
        <v>1</v>
      </c>
      <c r="H355" s="7" t="n">
        <v>38186</v>
      </c>
      <c r="I355" s="5" t="inlineStr">
        <is>
          <t>USD</t>
        </is>
      </c>
      <c r="J355" s="8">
        <f>IF($I355="AUD",Assumptions!$B$2,Assumptions!$B$3)</f>
        <v/>
      </c>
      <c r="K355" s="9">
        <f>$G355*$H355*$J355</f>
        <v/>
      </c>
      <c r="L355" s="9">
        <f>$K355*Assumptions!$B$4</f>
        <v/>
      </c>
      <c r="M355" s="9">
        <f>RawTx[[#This Row],[Value USD]]/RawTx[[#This Row],[Quantity]]</f>
        <v/>
      </c>
      <c r="N355" s="9">
        <f>RawTx[[#This Row],[Value IDR]]/RawTx[[#This Row],[Quantity]]</f>
        <v/>
      </c>
      <c r="O355" s="4" t="inlineStr">
        <is>
          <t>EMPTY CLEAN ISOTANK SPARGE; UNIT IDENTITY :SN UI</t>
        </is>
      </c>
      <c r="P355" s="5" t="inlineStr">
        <is>
          <t>NA</t>
        </is>
      </c>
      <c r="Q355" s="13" t="inlineStr">
        <is>
          <t>NA</t>
        </is>
      </c>
      <c r="R355" s="7" t="n">
        <v>27990</v>
      </c>
      <c r="S355" s="7">
        <f>IFERROR($R355/$G355,"")</f>
        <v/>
      </c>
      <c r="T355" s="7" t="inlineStr">
        <is>
          <t>NA</t>
        </is>
      </c>
      <c r="U355" s="7" t="inlineStr">
        <is>
          <t>NA</t>
        </is>
      </c>
      <c r="V355" s="7" t="inlineStr">
        <is>
          <t>NA</t>
        </is>
      </c>
      <c r="W355" s="9">
        <f>IF(ISNUMBER($T355),$T355*$J355*Assumptions!$B$4,"NA")</f>
        <v/>
      </c>
      <c r="X355" s="9">
        <f>IF(ISNUMBER($U355),$U355*$J355*Assumptions!$B$4,"NA")</f>
        <v/>
      </c>
      <c r="Y355" s="9">
        <f>IF(ISNUMBER($V355),$V355*$J355*Assumptions!$B$4,"NA")</f>
        <v/>
      </c>
    </row>
    <row r="356">
      <c r="A356" s="5" t="inlineStr">
        <is>
          <t>SSB Unit</t>
        </is>
      </c>
      <c r="B356" s="11" t="inlineStr">
        <is>
          <t>Tanks and service modules</t>
        </is>
      </c>
      <c r="C356" s="5" t="inlineStr">
        <is>
          <t>Orica Australia Pty Limited</t>
        </is>
      </c>
      <c r="D356" s="5" t="inlineStr">
        <is>
          <t>Contractor</t>
        </is>
      </c>
      <c r="E356" s="5" t="inlineStr">
        <is>
          <t>Australia</t>
        </is>
      </c>
      <c r="F356" s="5" t="n">
        <v>2026</v>
      </c>
      <c r="G356" s="5" t="n">
        <v>1</v>
      </c>
      <c r="H356" s="7" t="n">
        <v>38186</v>
      </c>
      <c r="I356" s="5" t="inlineStr">
        <is>
          <t>USD</t>
        </is>
      </c>
      <c r="J356" s="8">
        <f>IF($I356="AUD",Assumptions!$B$2,Assumptions!$B$3)</f>
        <v/>
      </c>
      <c r="K356" s="9">
        <f>$G356*$H356*$J356</f>
        <v/>
      </c>
      <c r="L356" s="9">
        <f>$K356*Assumptions!$B$4</f>
        <v/>
      </c>
      <c r="M356" s="9">
        <f>RawTx[[#This Row],[Value USD]]/RawTx[[#This Row],[Quantity]]</f>
        <v/>
      </c>
      <c r="N356" s="9">
        <f>RawTx[[#This Row],[Value IDR]]/RawTx[[#This Row],[Quantity]]</f>
        <v/>
      </c>
      <c r="O356" s="4" t="inlineStr">
        <is>
          <t>EMPTY CLEAN ISOTANK SPARGE; UNIT IDENTITY :SN UI</t>
        </is>
      </c>
      <c r="P356" s="5" t="inlineStr">
        <is>
          <t>NA</t>
        </is>
      </c>
      <c r="Q356" s="13" t="inlineStr">
        <is>
          <t>NA</t>
        </is>
      </c>
      <c r="R356" s="7" t="n">
        <v>27990</v>
      </c>
      <c r="S356" s="7">
        <f>IFERROR($R356/$G356,"")</f>
        <v/>
      </c>
      <c r="T356" s="7" t="inlineStr">
        <is>
          <t>NA</t>
        </is>
      </c>
      <c r="U356" s="7" t="inlineStr">
        <is>
          <t>NA</t>
        </is>
      </c>
      <c r="V356" s="7" t="inlineStr">
        <is>
          <t>NA</t>
        </is>
      </c>
      <c r="W356" s="9">
        <f>IF(ISNUMBER($T356),$T356*$J356*Assumptions!$B$4,"NA")</f>
        <v/>
      </c>
      <c r="X356" s="9">
        <f>IF(ISNUMBER($U356),$U356*$J356*Assumptions!$B$4,"NA")</f>
        <v/>
      </c>
      <c r="Y356" s="9">
        <f>IF(ISNUMBER($V356),$V356*$J356*Assumptions!$B$4,"NA")</f>
        <v/>
      </c>
    </row>
    <row r="357">
      <c r="A357" s="5" t="inlineStr">
        <is>
          <t>SSB Unit</t>
        </is>
      </c>
      <c r="B357" s="11" t="inlineStr">
        <is>
          <t>Tanks and service modules</t>
        </is>
      </c>
      <c r="C357" s="5" t="inlineStr">
        <is>
          <t>Orica Australia Pty Limited</t>
        </is>
      </c>
      <c r="D357" s="5" t="inlineStr">
        <is>
          <t>Contractor</t>
        </is>
      </c>
      <c r="E357" s="5" t="inlineStr">
        <is>
          <t>Australia</t>
        </is>
      </c>
      <c r="F357" s="5" t="n">
        <v>2026</v>
      </c>
      <c r="G357" s="5" t="n">
        <v>1</v>
      </c>
      <c r="H357" s="7" t="n">
        <v>38186</v>
      </c>
      <c r="I357" s="5" t="inlineStr">
        <is>
          <t>USD</t>
        </is>
      </c>
      <c r="J357" s="8">
        <f>IF($I357="AUD",Assumptions!$B$2,Assumptions!$B$3)</f>
        <v/>
      </c>
      <c r="K357" s="9">
        <f>$G357*$H357*$J357</f>
        <v/>
      </c>
      <c r="L357" s="9">
        <f>$K357*Assumptions!$B$4</f>
        <v/>
      </c>
      <c r="M357" s="9">
        <f>RawTx[[#This Row],[Value USD]]/RawTx[[#This Row],[Quantity]]</f>
        <v/>
      </c>
      <c r="N357" s="9">
        <f>RawTx[[#This Row],[Value IDR]]/RawTx[[#This Row],[Quantity]]</f>
        <v/>
      </c>
      <c r="O357" s="4" t="inlineStr">
        <is>
          <t>EMPTY CLEAN ISOTANK SPARGE; UNIT IDENTITY :SN UI</t>
        </is>
      </c>
      <c r="P357" s="5" t="inlineStr">
        <is>
          <t>NA</t>
        </is>
      </c>
      <c r="Q357" s="13" t="inlineStr">
        <is>
          <t>NA</t>
        </is>
      </c>
      <c r="R357" s="7" t="n">
        <v>27990</v>
      </c>
      <c r="S357" s="7">
        <f>IFERROR($R357/$G357,"")</f>
        <v/>
      </c>
      <c r="T357" s="7" t="inlineStr">
        <is>
          <t>NA</t>
        </is>
      </c>
      <c r="U357" s="7" t="inlineStr">
        <is>
          <t>NA</t>
        </is>
      </c>
      <c r="V357" s="7" t="inlineStr">
        <is>
          <t>NA</t>
        </is>
      </c>
      <c r="W357" s="9">
        <f>IF(ISNUMBER($T357),$T357*$J357*Assumptions!$B$4,"NA")</f>
        <v/>
      </c>
      <c r="X357" s="9">
        <f>IF(ISNUMBER($U357),$U357*$J357*Assumptions!$B$4,"NA")</f>
        <v/>
      </c>
      <c r="Y357" s="9">
        <f>IF(ISNUMBER($V357),$V357*$J357*Assumptions!$B$4,"NA")</f>
        <v/>
      </c>
    </row>
    <row r="358">
      <c r="A358" s="5" t="inlineStr">
        <is>
          <t>SSB Unit</t>
        </is>
      </c>
      <c r="B358" s="11" t="inlineStr">
        <is>
          <t>Tanks and service modules</t>
        </is>
      </c>
      <c r="C358" s="5" t="inlineStr">
        <is>
          <t>Orica Australia Pty Limited</t>
        </is>
      </c>
      <c r="D358" s="5" t="inlineStr">
        <is>
          <t>Contractor</t>
        </is>
      </c>
      <c r="E358" s="5" t="inlineStr">
        <is>
          <t>Australia</t>
        </is>
      </c>
      <c r="F358" s="5" t="n">
        <v>2026</v>
      </c>
      <c r="G358" s="5" t="n">
        <v>1</v>
      </c>
      <c r="H358" s="7" t="n">
        <v>38186</v>
      </c>
      <c r="I358" s="5" t="inlineStr">
        <is>
          <t>USD</t>
        </is>
      </c>
      <c r="J358" s="8">
        <f>IF($I358="AUD",Assumptions!$B$2,Assumptions!$B$3)</f>
        <v/>
      </c>
      <c r="K358" s="9">
        <f>$G358*$H358*$J358</f>
        <v/>
      </c>
      <c r="L358" s="9">
        <f>$K358*Assumptions!$B$4</f>
        <v/>
      </c>
      <c r="M358" s="9">
        <f>RawTx[[#This Row],[Value USD]]/RawTx[[#This Row],[Quantity]]</f>
        <v/>
      </c>
      <c r="N358" s="9">
        <f>RawTx[[#This Row],[Value IDR]]/RawTx[[#This Row],[Quantity]]</f>
        <v/>
      </c>
      <c r="O358" s="4" t="inlineStr">
        <is>
          <t>EMPTY CLEAN ISOTANK SPARGE; UNIT IDENTITY :SN UI</t>
        </is>
      </c>
      <c r="P358" s="5" t="inlineStr">
        <is>
          <t>NA</t>
        </is>
      </c>
      <c r="Q358" s="13" t="inlineStr">
        <is>
          <t>NA</t>
        </is>
      </c>
      <c r="R358" s="7" t="n">
        <v>27990</v>
      </c>
      <c r="S358" s="7">
        <f>IFERROR($R358/$G358,"")</f>
        <v/>
      </c>
      <c r="T358" s="7" t="inlineStr">
        <is>
          <t>NA</t>
        </is>
      </c>
      <c r="U358" s="7" t="inlineStr">
        <is>
          <t>NA</t>
        </is>
      </c>
      <c r="V358" s="7" t="inlineStr">
        <is>
          <t>NA</t>
        </is>
      </c>
      <c r="W358" s="9">
        <f>IF(ISNUMBER($T358),$T358*$J358*Assumptions!$B$4,"NA")</f>
        <v/>
      </c>
      <c r="X358" s="9">
        <f>IF(ISNUMBER($U358),$U358*$J358*Assumptions!$B$4,"NA")</f>
        <v/>
      </c>
      <c r="Y358" s="9">
        <f>IF(ISNUMBER($V358),$V358*$J358*Assumptions!$B$4,"NA")</f>
        <v/>
      </c>
    </row>
    <row r="359">
      <c r="A359" s="5" t="inlineStr">
        <is>
          <t>SSB Unit</t>
        </is>
      </c>
      <c r="B359" s="11" t="inlineStr">
        <is>
          <t>Tanks and service modules</t>
        </is>
      </c>
      <c r="C359" s="5" t="inlineStr">
        <is>
          <t>Orica Australia Pty Limited</t>
        </is>
      </c>
      <c r="D359" s="5" t="inlineStr">
        <is>
          <t>Contractor</t>
        </is>
      </c>
      <c r="E359" s="5" t="inlineStr">
        <is>
          <t>Australia</t>
        </is>
      </c>
      <c r="F359" s="5" t="n">
        <v>2026</v>
      </c>
      <c r="G359" s="5" t="n">
        <v>1</v>
      </c>
      <c r="H359" s="7" t="n">
        <v>38186</v>
      </c>
      <c r="I359" s="5" t="inlineStr">
        <is>
          <t>USD</t>
        </is>
      </c>
      <c r="J359" s="8">
        <f>IF($I359="AUD",Assumptions!$B$2,Assumptions!$B$3)</f>
        <v/>
      </c>
      <c r="K359" s="9">
        <f>$G359*$H359*$J359</f>
        <v/>
      </c>
      <c r="L359" s="9">
        <f>$K359*Assumptions!$B$4</f>
        <v/>
      </c>
      <c r="M359" s="9">
        <f>RawTx[[#This Row],[Value USD]]/RawTx[[#This Row],[Quantity]]</f>
        <v/>
      </c>
      <c r="N359" s="9">
        <f>RawTx[[#This Row],[Value IDR]]/RawTx[[#This Row],[Quantity]]</f>
        <v/>
      </c>
      <c r="O359" s="4" t="inlineStr">
        <is>
          <t>EMPTY CLEAN ISOTANK SPARGE; UNIT IDENTITY:SN UN</t>
        </is>
      </c>
      <c r="P359" s="5" t="inlineStr">
        <is>
          <t>NA</t>
        </is>
      </c>
      <c r="Q359" s="13" t="inlineStr">
        <is>
          <t>NA</t>
        </is>
      </c>
      <c r="R359" s="7" t="n">
        <v>5580</v>
      </c>
      <c r="S359" s="7">
        <f>IFERROR($R359/$G359,"")</f>
        <v/>
      </c>
      <c r="T359" s="7" t="inlineStr">
        <is>
          <t>NA</t>
        </is>
      </c>
      <c r="U359" s="7" t="inlineStr">
        <is>
          <t>NA</t>
        </is>
      </c>
      <c r="V359" s="7" t="inlineStr">
        <is>
          <t>NA</t>
        </is>
      </c>
      <c r="W359" s="9">
        <f>IF(ISNUMBER($T359),$T359*$J359*Assumptions!$B$4,"NA")</f>
        <v/>
      </c>
      <c r="X359" s="9">
        <f>IF(ISNUMBER($U359),$U359*$J359*Assumptions!$B$4,"NA")</f>
        <v/>
      </c>
      <c r="Y359" s="9">
        <f>IF(ISNUMBER($V359),$V359*$J359*Assumptions!$B$4,"NA")</f>
        <v/>
      </c>
    </row>
    <row r="360">
      <c r="A360" s="5" t="inlineStr">
        <is>
          <t>SSB Unit</t>
        </is>
      </c>
      <c r="B360" s="11" t="inlineStr">
        <is>
          <t>Tanks and service modules</t>
        </is>
      </c>
      <c r="C360" s="5" t="inlineStr">
        <is>
          <t>Orica Australia Pty Limited</t>
        </is>
      </c>
      <c r="D360" s="5" t="inlineStr">
        <is>
          <t>Contractor</t>
        </is>
      </c>
      <c r="E360" s="5" t="inlineStr">
        <is>
          <t>Australia</t>
        </is>
      </c>
      <c r="F360" s="5" t="n">
        <v>2026</v>
      </c>
      <c r="G360" s="5" t="n">
        <v>1</v>
      </c>
      <c r="H360" s="7" t="n">
        <v>38186</v>
      </c>
      <c r="I360" s="5" t="inlineStr">
        <is>
          <t>USD</t>
        </is>
      </c>
      <c r="J360" s="8">
        <f>IF($I360="AUD",Assumptions!$B$2,Assumptions!$B$3)</f>
        <v/>
      </c>
      <c r="K360" s="9">
        <f>$G360*$H360*$J360</f>
        <v/>
      </c>
      <c r="L360" s="9">
        <f>$K360*Assumptions!$B$4</f>
        <v/>
      </c>
      <c r="M360" s="9">
        <f>RawTx[[#This Row],[Value USD]]/RawTx[[#This Row],[Quantity]]</f>
        <v/>
      </c>
      <c r="N360" s="9">
        <f>RawTx[[#This Row],[Value IDR]]/RawTx[[#This Row],[Quantity]]</f>
        <v/>
      </c>
      <c r="O360" s="4" t="inlineStr">
        <is>
          <t>EMPTY CLEAN ISOTANK SPARGE; UNIT IDENTITY:SN UN</t>
        </is>
      </c>
      <c r="P360" s="5" t="inlineStr">
        <is>
          <t>NA</t>
        </is>
      </c>
      <c r="Q360" s="13" t="inlineStr">
        <is>
          <t>NA</t>
        </is>
      </c>
      <c r="R360" s="7" t="n">
        <v>5640</v>
      </c>
      <c r="S360" s="7">
        <f>IFERROR($R360/$G360,"")</f>
        <v/>
      </c>
      <c r="T360" s="7" t="inlineStr">
        <is>
          <t>NA</t>
        </is>
      </c>
      <c r="U360" s="7" t="inlineStr">
        <is>
          <t>NA</t>
        </is>
      </c>
      <c r="V360" s="7" t="inlineStr">
        <is>
          <t>NA</t>
        </is>
      </c>
      <c r="W360" s="9">
        <f>IF(ISNUMBER($T360),$T360*$J360*Assumptions!$B$4,"NA")</f>
        <v/>
      </c>
      <c r="X360" s="9">
        <f>IF(ISNUMBER($U360),$U360*$J360*Assumptions!$B$4,"NA")</f>
        <v/>
      </c>
      <c r="Y360" s="9">
        <f>IF(ISNUMBER($V360),$V360*$J360*Assumptions!$B$4,"NA")</f>
        <v/>
      </c>
    </row>
    <row r="361">
      <c r="A361" s="5" t="inlineStr">
        <is>
          <t>SSB Unit</t>
        </is>
      </c>
      <c r="B361" s="11" t="inlineStr">
        <is>
          <t>Tanks and service modules</t>
        </is>
      </c>
      <c r="C361" s="5" t="inlineStr">
        <is>
          <t>Orica Australia Pty Limited</t>
        </is>
      </c>
      <c r="D361" s="5" t="inlineStr">
        <is>
          <t>Contractor</t>
        </is>
      </c>
      <c r="E361" s="5" t="inlineStr">
        <is>
          <t>Australia</t>
        </is>
      </c>
      <c r="F361" s="5" t="n">
        <v>2026</v>
      </c>
      <c r="G361" s="5" t="n">
        <v>1</v>
      </c>
      <c r="H361" s="7" t="n">
        <v>38186</v>
      </c>
      <c r="I361" s="5" t="inlineStr">
        <is>
          <t>USD</t>
        </is>
      </c>
      <c r="J361" s="8">
        <f>IF($I361="AUD",Assumptions!$B$2,Assumptions!$B$3)</f>
        <v/>
      </c>
      <c r="K361" s="9">
        <f>$G361*$H361*$J361</f>
        <v/>
      </c>
      <c r="L361" s="9">
        <f>$K361*Assumptions!$B$4</f>
        <v/>
      </c>
      <c r="M361" s="9">
        <f>RawTx[[#This Row],[Value USD]]/RawTx[[#This Row],[Quantity]]</f>
        <v/>
      </c>
      <c r="N361" s="9">
        <f>RawTx[[#This Row],[Value IDR]]/RawTx[[#This Row],[Quantity]]</f>
        <v/>
      </c>
      <c r="O361" s="4" t="inlineStr">
        <is>
          <t>EMPTY CLEAN ISOTANK SPARGE; UNIT IDENTITY:SN UN</t>
        </is>
      </c>
      <c r="P361" s="5" t="inlineStr">
        <is>
          <t>NA</t>
        </is>
      </c>
      <c r="Q361" s="13" t="inlineStr">
        <is>
          <t>NA</t>
        </is>
      </c>
      <c r="R361" s="7" t="n">
        <v>5520</v>
      </c>
      <c r="S361" s="7">
        <f>IFERROR($R361/$G361,"")</f>
        <v/>
      </c>
      <c r="T361" s="7" t="inlineStr">
        <is>
          <t>NA</t>
        </is>
      </c>
      <c r="U361" s="7" t="inlineStr">
        <is>
          <t>NA</t>
        </is>
      </c>
      <c r="V361" s="7" t="inlineStr">
        <is>
          <t>NA</t>
        </is>
      </c>
      <c r="W361" s="9">
        <f>IF(ISNUMBER($T361),$T361*$J361*Assumptions!$B$4,"NA")</f>
        <v/>
      </c>
      <c r="X361" s="9">
        <f>IF(ISNUMBER($U361),$U361*$J361*Assumptions!$B$4,"NA")</f>
        <v/>
      </c>
      <c r="Y361" s="9">
        <f>IF(ISNUMBER($V361),$V361*$J361*Assumptions!$B$4,"NA")</f>
        <v/>
      </c>
    </row>
    <row r="362">
      <c r="A362" s="5" t="inlineStr">
        <is>
          <t>SSB Unit</t>
        </is>
      </c>
      <c r="B362" s="11" t="inlineStr">
        <is>
          <t>Tanks and service modules</t>
        </is>
      </c>
      <c r="C362" s="5" t="inlineStr">
        <is>
          <t>Orica Australia Pty Limited</t>
        </is>
      </c>
      <c r="D362" s="5" t="inlineStr">
        <is>
          <t>Contractor</t>
        </is>
      </c>
      <c r="E362" s="5" t="inlineStr">
        <is>
          <t>Australia</t>
        </is>
      </c>
      <c r="F362" s="5" t="n">
        <v>2026</v>
      </c>
      <c r="G362" s="5" t="n">
        <v>1</v>
      </c>
      <c r="H362" s="7" t="n">
        <v>38186</v>
      </c>
      <c r="I362" s="5" t="inlineStr">
        <is>
          <t>USD</t>
        </is>
      </c>
      <c r="J362" s="8">
        <f>IF($I362="AUD",Assumptions!$B$2,Assumptions!$B$3)</f>
        <v/>
      </c>
      <c r="K362" s="9">
        <f>$G362*$H362*$J362</f>
        <v/>
      </c>
      <c r="L362" s="9">
        <f>$K362*Assumptions!$B$4</f>
        <v/>
      </c>
      <c r="M362" s="9">
        <f>RawTx[[#This Row],[Value USD]]/RawTx[[#This Row],[Quantity]]</f>
        <v/>
      </c>
      <c r="N362" s="9">
        <f>RawTx[[#This Row],[Value IDR]]/RawTx[[#This Row],[Quantity]]</f>
        <v/>
      </c>
      <c r="O362" s="4" t="inlineStr">
        <is>
          <t>EMPTY CLEAN ISOTANK SPARGE; UNIT IDENTITY:SN UN</t>
        </is>
      </c>
      <c r="P362" s="5" t="inlineStr">
        <is>
          <t>NA</t>
        </is>
      </c>
      <c r="Q362" s="13" t="inlineStr">
        <is>
          <t>NA</t>
        </is>
      </c>
      <c r="R362" s="7" t="n">
        <v>5680</v>
      </c>
      <c r="S362" s="7">
        <f>IFERROR($R362/$G362,"")</f>
        <v/>
      </c>
      <c r="T362" s="7" t="inlineStr">
        <is>
          <t>NA</t>
        </is>
      </c>
      <c r="U362" s="7" t="inlineStr">
        <is>
          <t>NA</t>
        </is>
      </c>
      <c r="V362" s="7" t="inlineStr">
        <is>
          <t>NA</t>
        </is>
      </c>
      <c r="W362" s="9">
        <f>IF(ISNUMBER($T362),$T362*$J362*Assumptions!$B$4,"NA")</f>
        <v/>
      </c>
      <c r="X362" s="9">
        <f>IF(ISNUMBER($U362),$U362*$J362*Assumptions!$B$4,"NA")</f>
        <v/>
      </c>
      <c r="Y362" s="9">
        <f>IF(ISNUMBER($V362),$V362*$J362*Assumptions!$B$4,"NA")</f>
        <v/>
      </c>
    </row>
    <row r="363">
      <c r="A363" s="5" t="inlineStr">
        <is>
          <t>SSB Unit</t>
        </is>
      </c>
      <c r="B363" s="11" t="inlineStr">
        <is>
          <t>Tanks and service modules</t>
        </is>
      </c>
      <c r="C363" s="5" t="inlineStr">
        <is>
          <t>Orica Australia Pty Limited</t>
        </is>
      </c>
      <c r="D363" s="5" t="inlineStr">
        <is>
          <t>Contractor</t>
        </is>
      </c>
      <c r="E363" s="5" t="inlineStr">
        <is>
          <t>Australia</t>
        </is>
      </c>
      <c r="F363" s="5" t="n">
        <v>2026</v>
      </c>
      <c r="G363" s="5" t="n">
        <v>1</v>
      </c>
      <c r="H363" s="7" t="n">
        <v>38186</v>
      </c>
      <c r="I363" s="5" t="inlineStr">
        <is>
          <t>USD</t>
        </is>
      </c>
      <c r="J363" s="8">
        <f>IF($I363="AUD",Assumptions!$B$2,Assumptions!$B$3)</f>
        <v/>
      </c>
      <c r="K363" s="9">
        <f>$G363*$H363*$J363</f>
        <v/>
      </c>
      <c r="L363" s="9">
        <f>$K363*Assumptions!$B$4</f>
        <v/>
      </c>
      <c r="M363" s="9">
        <f>RawTx[[#This Row],[Value USD]]/RawTx[[#This Row],[Quantity]]</f>
        <v/>
      </c>
      <c r="N363" s="9">
        <f>RawTx[[#This Row],[Value IDR]]/RawTx[[#This Row],[Quantity]]</f>
        <v/>
      </c>
      <c r="O363" s="4" t="inlineStr">
        <is>
          <t>EMPTY CLEAN ISOTANK SPARGE; UNIT IDENTITY:SN UN</t>
        </is>
      </c>
      <c r="P363" s="5" t="inlineStr">
        <is>
          <t>NA</t>
        </is>
      </c>
      <c r="Q363" s="13" t="inlineStr">
        <is>
          <t>NA</t>
        </is>
      </c>
      <c r="R363" s="7" t="n">
        <v>5660</v>
      </c>
      <c r="S363" s="7">
        <f>IFERROR($R363/$G363,"")</f>
        <v/>
      </c>
      <c r="T363" s="7" t="inlineStr">
        <is>
          <t>NA</t>
        </is>
      </c>
      <c r="U363" s="7" t="inlineStr">
        <is>
          <t>NA</t>
        </is>
      </c>
      <c r="V363" s="7" t="inlineStr">
        <is>
          <t>NA</t>
        </is>
      </c>
      <c r="W363" s="9">
        <f>IF(ISNUMBER($T363),$T363*$J363*Assumptions!$B$4,"NA")</f>
        <v/>
      </c>
      <c r="X363" s="9">
        <f>IF(ISNUMBER($U363),$U363*$J363*Assumptions!$B$4,"NA")</f>
        <v/>
      </c>
      <c r="Y363" s="9">
        <f>IF(ISNUMBER($V363),$V363*$J363*Assumptions!$B$4,"NA")</f>
        <v/>
      </c>
    </row>
    <row r="364">
      <c r="A364" s="5" t="inlineStr">
        <is>
          <t>SSB Unit</t>
        </is>
      </c>
      <c r="B364" s="5" t="inlineStr">
        <is>
          <t>Trailers</t>
        </is>
      </c>
      <c r="C364" s="5" t="inlineStr">
        <is>
          <t>MSM Group LLC</t>
        </is>
      </c>
      <c r="D364" s="5" t="inlineStr">
        <is>
          <t>Trader/Distributor</t>
        </is>
      </c>
      <c r="E364" s="5" t="inlineStr">
        <is>
          <t>Mongolia</t>
        </is>
      </c>
      <c r="F364" s="5" t="n">
        <v>2025</v>
      </c>
      <c r="G364" s="5" t="n">
        <v>1</v>
      </c>
      <c r="H364" s="7" t="n">
        <v>143590</v>
      </c>
      <c r="I364" s="5" t="inlineStr">
        <is>
          <t>USD</t>
        </is>
      </c>
      <c r="J364" s="8">
        <f>IF($I364="AUD",Assumptions!$B$2,Assumptions!$B$3)</f>
        <v/>
      </c>
      <c r="K364" s="9">
        <f>$G364*$H364*$J364</f>
        <v/>
      </c>
      <c r="L364" s="9">
        <f>$K364*Assumptions!$B$4</f>
        <v/>
      </c>
      <c r="M364" s="9">
        <f>RawTx[[#This Row],[Value USD]]/RawTx[[#This Row],[Quantity]]</f>
        <v/>
      </c>
      <c r="N364" s="9">
        <f>RawTx[[#This Row],[Value IDR]]/RawTx[[#This Row],[Quantity]]</f>
        <v/>
      </c>
      <c r="O364" s="4" t="inlineStr">
        <is>
          <t>TRAILER TAB BODY ASSEMBLY 43M3 SIDE TIP TRAI...</t>
        </is>
      </c>
      <c r="P364" s="5" t="inlineStr">
        <is>
          <t>NA</t>
        </is>
      </c>
      <c r="Q364" s="13" t="inlineStr">
        <is>
          <t>NA</t>
        </is>
      </c>
      <c r="R364" s="7" t="n">
        <v>13534</v>
      </c>
      <c r="S364" s="7">
        <f>IFERROR($R364/$G364,"")</f>
        <v/>
      </c>
      <c r="T364" s="7" t="inlineStr">
        <is>
          <t>NA</t>
        </is>
      </c>
      <c r="U364" s="7" t="inlineStr">
        <is>
          <t>NA</t>
        </is>
      </c>
      <c r="V364" s="7" t="inlineStr">
        <is>
          <t>NA</t>
        </is>
      </c>
      <c r="W364" s="9">
        <f>IF(ISNUMBER($T364),$T364*$J364*Assumptions!$B$4,"NA")</f>
        <v/>
      </c>
      <c r="X364" s="9">
        <f>IF(ISNUMBER($U364),$U364*$J364*Assumptions!$B$4,"NA")</f>
        <v/>
      </c>
      <c r="Y364" s="9">
        <f>IF(ISNUMBER($V364),$V364*$J364*Assumptions!$B$4,"NA")</f>
        <v/>
      </c>
    </row>
    <row r="365">
      <c r="A365" s="5" t="inlineStr">
        <is>
          <t>SSB Unit</t>
        </is>
      </c>
      <c r="B365" s="5" t="inlineStr">
        <is>
          <t>Trailers</t>
        </is>
      </c>
      <c r="C365" s="5" t="inlineStr">
        <is>
          <t>MSM Group LLC</t>
        </is>
      </c>
      <c r="D365" s="5" t="inlineStr">
        <is>
          <t>Trader/Distributor</t>
        </is>
      </c>
      <c r="E365" s="5" t="inlineStr">
        <is>
          <t>Mongolia</t>
        </is>
      </c>
      <c r="F365" s="5" t="n">
        <v>2025</v>
      </c>
      <c r="G365" s="5" t="n">
        <v>1</v>
      </c>
      <c r="H365" s="7" t="n">
        <v>143590</v>
      </c>
      <c r="I365" s="5" t="inlineStr">
        <is>
          <t>USD</t>
        </is>
      </c>
      <c r="J365" s="8">
        <f>IF($I365="AUD",Assumptions!$B$2,Assumptions!$B$3)</f>
        <v/>
      </c>
      <c r="K365" s="9">
        <f>$G365*$H365*$J365</f>
        <v/>
      </c>
      <c r="L365" s="9">
        <f>$K365*Assumptions!$B$4</f>
        <v/>
      </c>
      <c r="M365" s="9">
        <f>RawTx[[#This Row],[Value USD]]/RawTx[[#This Row],[Quantity]]</f>
        <v/>
      </c>
      <c r="N365" s="9">
        <f>RawTx[[#This Row],[Value IDR]]/RawTx[[#This Row],[Quantity]]</f>
        <v/>
      </c>
      <c r="O365" s="4" t="inlineStr">
        <is>
          <t>TRAILER TAB BODY ASSEMBLY 43M3 SIDE TIP TRAI...</t>
        </is>
      </c>
      <c r="P365" s="5" t="inlineStr">
        <is>
          <t>NA</t>
        </is>
      </c>
      <c r="Q365" s="13" t="inlineStr">
        <is>
          <t>NA</t>
        </is>
      </c>
      <c r="R365" s="7" t="n">
        <v>13264</v>
      </c>
      <c r="S365" s="7">
        <f>IFERROR($R365/$G365,"")</f>
        <v/>
      </c>
      <c r="T365" s="7" t="inlineStr">
        <is>
          <t>NA</t>
        </is>
      </c>
      <c r="U365" s="7" t="inlineStr">
        <is>
          <t>NA</t>
        </is>
      </c>
      <c r="V365" s="7" t="inlineStr">
        <is>
          <t>NA</t>
        </is>
      </c>
      <c r="W365" s="9">
        <f>IF(ISNUMBER($T365),$T365*$J365*Assumptions!$B$4,"NA")</f>
        <v/>
      </c>
      <c r="X365" s="9">
        <f>IF(ISNUMBER($U365),$U365*$J365*Assumptions!$B$4,"NA")</f>
        <v/>
      </c>
      <c r="Y365" s="9">
        <f>IF(ISNUMBER($V365),$V365*$J365*Assumptions!$B$4,"NA")</f>
        <v/>
      </c>
    </row>
    <row r="366">
      <c r="A366" s="5" t="inlineStr">
        <is>
          <t>SSB Unit</t>
        </is>
      </c>
      <c r="B366" s="5" t="inlineStr">
        <is>
          <t>Trailers</t>
        </is>
      </c>
      <c r="C366" s="5" t="inlineStr">
        <is>
          <t>MSM Group LLC</t>
        </is>
      </c>
      <c r="D366" s="5" t="inlineStr">
        <is>
          <t>Trader/Distributor</t>
        </is>
      </c>
      <c r="E366" s="5" t="inlineStr">
        <is>
          <t>Mongolia</t>
        </is>
      </c>
      <c r="F366" s="5" t="n">
        <v>2025</v>
      </c>
      <c r="G366" s="5" t="n">
        <v>1</v>
      </c>
      <c r="H366" s="7" t="n">
        <v>143590</v>
      </c>
      <c r="I366" s="5" t="inlineStr">
        <is>
          <t>USD</t>
        </is>
      </c>
      <c r="J366" s="8">
        <f>IF($I366="AUD",Assumptions!$B$2,Assumptions!$B$3)</f>
        <v/>
      </c>
      <c r="K366" s="9">
        <f>$G366*$H366*$J366</f>
        <v/>
      </c>
      <c r="L366" s="9">
        <f>$K366*Assumptions!$B$4</f>
        <v/>
      </c>
      <c r="M366" s="9">
        <f>RawTx[[#This Row],[Value USD]]/RawTx[[#This Row],[Quantity]]</f>
        <v/>
      </c>
      <c r="N366" s="9">
        <f>RawTx[[#This Row],[Value IDR]]/RawTx[[#This Row],[Quantity]]</f>
        <v/>
      </c>
      <c r="O366" s="4" t="inlineStr">
        <is>
          <t>TRAILER 42M3 BODY (TUB) SIDE TIP TRAILER WITH</t>
        </is>
      </c>
      <c r="P366" s="5" t="inlineStr">
        <is>
          <t>NA</t>
        </is>
      </c>
      <c r="Q366" s="13" t="inlineStr">
        <is>
          <t>NA</t>
        </is>
      </c>
      <c r="R366" s="7" t="n">
        <v>13320</v>
      </c>
      <c r="S366" s="7">
        <f>IFERROR($R366/$G366,"")</f>
        <v/>
      </c>
      <c r="T366" s="7" t="inlineStr">
        <is>
          <t>NA</t>
        </is>
      </c>
      <c r="U366" s="7" t="inlineStr">
        <is>
          <t>NA</t>
        </is>
      </c>
      <c r="V366" s="7" t="inlineStr">
        <is>
          <t>NA</t>
        </is>
      </c>
      <c r="W366" s="9">
        <f>IF(ISNUMBER($T366),$T366*$J366*Assumptions!$B$4,"NA")</f>
        <v/>
      </c>
      <c r="X366" s="9">
        <f>IF(ISNUMBER($U366),$U366*$J366*Assumptions!$B$4,"NA")</f>
        <v/>
      </c>
      <c r="Y366" s="9">
        <f>IF(ISNUMBER($V366),$V366*$J366*Assumptions!$B$4,"NA")</f>
        <v/>
      </c>
    </row>
    <row r="367">
      <c r="A367" s="5" t="inlineStr">
        <is>
          <t>SSB Unit</t>
        </is>
      </c>
      <c r="B367" s="5" t="inlineStr">
        <is>
          <t>Trailers</t>
        </is>
      </c>
      <c r="C367" s="5" t="inlineStr">
        <is>
          <t>MSM Group LLC</t>
        </is>
      </c>
      <c r="D367" s="5" t="inlineStr">
        <is>
          <t>Trader/Distributor</t>
        </is>
      </c>
      <c r="E367" s="5" t="inlineStr">
        <is>
          <t>Mongolia</t>
        </is>
      </c>
      <c r="F367" s="5" t="n">
        <v>2025</v>
      </c>
      <c r="G367" s="5" t="n">
        <v>1</v>
      </c>
      <c r="H367" s="7" t="n">
        <v>143590</v>
      </c>
      <c r="I367" s="5" t="inlineStr">
        <is>
          <t>USD</t>
        </is>
      </c>
      <c r="J367" s="8">
        <f>IF($I367="AUD",Assumptions!$B$2,Assumptions!$B$3)</f>
        <v/>
      </c>
      <c r="K367" s="9">
        <f>$G367*$H367*$J367</f>
        <v/>
      </c>
      <c r="L367" s="9">
        <f>$K367*Assumptions!$B$4</f>
        <v/>
      </c>
      <c r="M367" s="9">
        <f>RawTx[[#This Row],[Value USD]]/RawTx[[#This Row],[Quantity]]</f>
        <v/>
      </c>
      <c r="N367" s="9">
        <f>RawTx[[#This Row],[Value IDR]]/RawTx[[#This Row],[Quantity]]</f>
        <v/>
      </c>
      <c r="O367" s="4" t="inlineStr">
        <is>
          <t>TRAILER 42M3 BODY (TUB) SIDE TIP TRAILER WITH</t>
        </is>
      </c>
      <c r="P367" s="5" t="inlineStr">
        <is>
          <t>NA</t>
        </is>
      </c>
      <c r="Q367" s="13" t="inlineStr">
        <is>
          <t>NA</t>
        </is>
      </c>
      <c r="R367" s="7" t="n">
        <v>12830</v>
      </c>
      <c r="S367" s="7">
        <f>IFERROR($R367/$G367,"")</f>
        <v/>
      </c>
      <c r="T367" s="7" t="inlineStr">
        <is>
          <t>NA</t>
        </is>
      </c>
      <c r="U367" s="7" t="inlineStr">
        <is>
          <t>NA</t>
        </is>
      </c>
      <c r="V367" s="7" t="inlineStr">
        <is>
          <t>NA</t>
        </is>
      </c>
      <c r="W367" s="9">
        <f>IF(ISNUMBER($T367),$T367*$J367*Assumptions!$B$4,"NA")</f>
        <v/>
      </c>
      <c r="X367" s="9">
        <f>IF(ISNUMBER($U367),$U367*$J367*Assumptions!$B$4,"NA")</f>
        <v/>
      </c>
      <c r="Y367" s="9">
        <f>IF(ISNUMBER($V367),$V367*$J367*Assumptions!$B$4,"NA")</f>
        <v/>
      </c>
    </row>
    <row r="368">
      <c r="A368" s="5" t="inlineStr">
        <is>
          <t>SSB Parts</t>
        </is>
      </c>
      <c r="B368" s="5" t="inlineStr">
        <is>
          <t>Wear parts</t>
        </is>
      </c>
      <c r="C368" s="5" t="inlineStr">
        <is>
          <t>MSM Group LLC</t>
        </is>
      </c>
      <c r="D368" s="5" t="inlineStr">
        <is>
          <t>Trader/Distributor</t>
        </is>
      </c>
      <c r="E368" s="5" t="inlineStr">
        <is>
          <t>Mongolia</t>
        </is>
      </c>
      <c r="F368" s="5" t="n">
        <v>2025</v>
      </c>
      <c r="G368" s="5" t="n">
        <v>4</v>
      </c>
      <c r="H368" s="7" t="n">
        <v>6821.84</v>
      </c>
      <c r="I368" s="5" t="inlineStr">
        <is>
          <t>USD</t>
        </is>
      </c>
      <c r="J368" s="8">
        <f>IF($I368="AUD",Assumptions!$B$2,Assumptions!$B$3)</f>
        <v/>
      </c>
      <c r="K368" s="9">
        <f>$G368*$H368*$J368</f>
        <v/>
      </c>
      <c r="L368" s="9">
        <f>$K368*Assumptions!$B$4</f>
        <v/>
      </c>
      <c r="M368" s="9">
        <f>RawTx[[#This Row],[Value USD]]/RawTx[[#This Row],[Quantity]]</f>
        <v/>
      </c>
      <c r="N368" s="9">
        <f>RawTx[[#This Row],[Value IDR]]/RawTx[[#This Row],[Quantity]]</f>
        <v/>
      </c>
      <c r="O368" s="4" t="inlineStr">
        <is>
          <t>BODY, DUMP: CANOPY; SBA000033010203</t>
        </is>
      </c>
      <c r="P368" s="5" t="inlineStr">
        <is>
          <t>NA</t>
        </is>
      </c>
      <c r="Q368" s="13" t="inlineStr">
        <is>
          <t>NA</t>
        </is>
      </c>
      <c r="R368" s="7" t="n">
        <v>1350</v>
      </c>
      <c r="S368" s="7">
        <f>IFERROR($R368/$G368,"")</f>
        <v/>
      </c>
      <c r="T368" s="7" t="inlineStr">
        <is>
          <t>NA</t>
        </is>
      </c>
      <c r="U368" s="7" t="inlineStr">
        <is>
          <t>NA</t>
        </is>
      </c>
      <c r="V368" s="7" t="inlineStr">
        <is>
          <t>NA</t>
        </is>
      </c>
      <c r="W368" s="9">
        <f>IF(ISNUMBER($T368),$T368*$J368*Assumptions!$B$4,"NA")</f>
        <v/>
      </c>
      <c r="X368" s="9">
        <f>IF(ISNUMBER($U368),$U368*$J368*Assumptions!$B$4,"NA")</f>
        <v/>
      </c>
      <c r="Y368" s="9">
        <f>IF(ISNUMBER($V368),$V368*$J368*Assumptions!$B$4,"NA")</f>
        <v/>
      </c>
    </row>
    <row r="369">
      <c r="A369" s="5" t="inlineStr">
        <is>
          <t>SSB Parts</t>
        </is>
      </c>
      <c r="B369" s="5" t="inlineStr">
        <is>
          <t>Brake and suspension</t>
        </is>
      </c>
      <c r="C369" s="5" t="inlineStr">
        <is>
          <t>MSM Group LLC</t>
        </is>
      </c>
      <c r="D369" s="5" t="inlineStr">
        <is>
          <t>Trader/Distributor</t>
        </is>
      </c>
      <c r="E369" s="5" t="inlineStr">
        <is>
          <t>Mongolia</t>
        </is>
      </c>
      <c r="F369" s="5" t="n">
        <v>2025</v>
      </c>
      <c r="G369" s="5" t="n">
        <v>1</v>
      </c>
      <c r="H369" s="7" t="n">
        <v>855.11</v>
      </c>
      <c r="I369" s="5" t="inlineStr">
        <is>
          <t>USD</t>
        </is>
      </c>
      <c r="J369" s="8">
        <f>IF($I369="AUD",Assumptions!$B$2,Assumptions!$B$3)</f>
        <v/>
      </c>
      <c r="K369" s="9">
        <f>$G369*$H369*$J369</f>
        <v/>
      </c>
      <c r="L369" s="9">
        <f>$K369*Assumptions!$B$4</f>
        <v/>
      </c>
      <c r="M369" s="9">
        <f>RawTx[[#This Row],[Value USD]]/RawTx[[#This Row],[Quantity]]</f>
        <v/>
      </c>
      <c r="N369" s="9">
        <f>RawTx[[#This Row],[Value IDR]]/RawTx[[#This Row],[Quantity]]</f>
        <v/>
      </c>
      <c r="O369" s="4" t="inlineStr">
        <is>
          <t>REPAIR KIT:09.801.02.38.0;BPW</t>
        </is>
      </c>
      <c r="P369" s="5" t="inlineStr">
        <is>
          <t>NA</t>
        </is>
      </c>
      <c r="Q369" s="13" t="inlineStr">
        <is>
          <t>NA</t>
        </is>
      </c>
      <c r="R369" s="7" t="n">
        <v>53</v>
      </c>
      <c r="S369" s="7">
        <f>IFERROR($R369/$G369,"")</f>
        <v/>
      </c>
      <c r="T369" s="7" t="inlineStr">
        <is>
          <t>NA</t>
        </is>
      </c>
      <c r="U369" s="7" t="inlineStr">
        <is>
          <t>NA</t>
        </is>
      </c>
      <c r="V369" s="7" t="inlineStr">
        <is>
          <t>NA</t>
        </is>
      </c>
      <c r="W369" s="9">
        <f>IF(ISNUMBER($T369),$T369*$J369*Assumptions!$B$4,"NA")</f>
        <v/>
      </c>
      <c r="X369" s="9">
        <f>IF(ISNUMBER($U369),$U369*$J369*Assumptions!$B$4,"NA")</f>
        <v/>
      </c>
      <c r="Y369" s="9">
        <f>IF(ISNUMBER($V369),$V369*$J369*Assumptions!$B$4,"NA")</f>
        <v/>
      </c>
    </row>
    <row r="370">
      <c r="A370" s="5" t="inlineStr">
        <is>
          <t>SSB Parts</t>
        </is>
      </c>
      <c r="B370" s="5" t="inlineStr">
        <is>
          <t>Brake and suspension</t>
        </is>
      </c>
      <c r="C370" s="5" t="inlineStr">
        <is>
          <t>MSM Group LLC</t>
        </is>
      </c>
      <c r="D370" s="5" t="inlineStr">
        <is>
          <t>Trader/Distributor</t>
        </is>
      </c>
      <c r="E370" s="5" t="inlineStr">
        <is>
          <t>Mongolia</t>
        </is>
      </c>
      <c r="F370" s="5" t="n">
        <v>2025</v>
      </c>
      <c r="G370" s="5" t="n">
        <v>1</v>
      </c>
      <c r="H370" s="7" t="n">
        <v>855.11</v>
      </c>
      <c r="I370" s="5" t="inlineStr">
        <is>
          <t>USD</t>
        </is>
      </c>
      <c r="J370" s="8">
        <f>IF($I370="AUD",Assumptions!$B$2,Assumptions!$B$3)</f>
        <v/>
      </c>
      <c r="K370" s="9">
        <f>$G370*$H370*$J370</f>
        <v/>
      </c>
      <c r="L370" s="9">
        <f>$K370*Assumptions!$B$4</f>
        <v/>
      </c>
      <c r="M370" s="9">
        <f>RawTx[[#This Row],[Value USD]]/RawTx[[#This Row],[Quantity]]</f>
        <v/>
      </c>
      <c r="N370" s="9">
        <f>RawTx[[#This Row],[Value IDR]]/RawTx[[#This Row],[Quantity]]</f>
        <v/>
      </c>
      <c r="O370" s="4" t="inlineStr">
        <is>
          <t>REPAIR KIT:09.801.02.38.0;BPW</t>
        </is>
      </c>
      <c r="P370" s="5" t="inlineStr">
        <is>
          <t>NA</t>
        </is>
      </c>
      <c r="Q370" s="13" t="inlineStr">
        <is>
          <t>NA</t>
        </is>
      </c>
      <c r="R370" s="7" t="n">
        <v>53</v>
      </c>
      <c r="S370" s="7">
        <f>IFERROR($R370/$G370,"")</f>
        <v/>
      </c>
      <c r="T370" s="7" t="inlineStr">
        <is>
          <t>NA</t>
        </is>
      </c>
      <c r="U370" s="7" t="inlineStr">
        <is>
          <t>NA</t>
        </is>
      </c>
      <c r="V370" s="7" t="inlineStr">
        <is>
          <t>NA</t>
        </is>
      </c>
      <c r="W370" s="9">
        <f>IF(ISNUMBER($T370),$T370*$J370*Assumptions!$B$4,"NA")</f>
        <v/>
      </c>
      <c r="X370" s="9">
        <f>IF(ISNUMBER($U370),$U370*$J370*Assumptions!$B$4,"NA")</f>
        <v/>
      </c>
      <c r="Y370" s="9">
        <f>IF(ISNUMBER($V370),$V370*$J370*Assumptions!$B$4,"NA")</f>
        <v/>
      </c>
    </row>
    <row r="371">
      <c r="A371" s="5" t="inlineStr">
        <is>
          <t>SSB Parts</t>
        </is>
      </c>
      <c r="B371" s="5" t="inlineStr">
        <is>
          <t>Brake and suspension</t>
        </is>
      </c>
      <c r="C371" s="5" t="inlineStr">
        <is>
          <t>MSM Group LLC</t>
        </is>
      </c>
      <c r="D371" s="5" t="inlineStr">
        <is>
          <t>Trader/Distributor</t>
        </is>
      </c>
      <c r="E371" s="5" t="inlineStr">
        <is>
          <t>Mongolia</t>
        </is>
      </c>
      <c r="F371" s="5" t="n">
        <v>2025</v>
      </c>
      <c r="G371" s="5" t="n">
        <v>1</v>
      </c>
      <c r="H371" s="7" t="n">
        <v>282.01</v>
      </c>
      <c r="I371" s="5" t="inlineStr">
        <is>
          <t>USD</t>
        </is>
      </c>
      <c r="J371" s="8">
        <f>IF($I371="AUD",Assumptions!$B$2,Assumptions!$B$3)</f>
        <v/>
      </c>
      <c r="K371" s="9">
        <f>$G371*$H371*$J371</f>
        <v/>
      </c>
      <c r="L371" s="9">
        <f>$K371*Assumptions!$B$4</f>
        <v/>
      </c>
      <c r="M371" s="9">
        <f>RawTx[[#This Row],[Value USD]]/RawTx[[#This Row],[Quantity]]</f>
        <v/>
      </c>
      <c r="N371" s="9">
        <f>RawTx[[#This Row],[Value IDR]]/RawTx[[#This Row],[Quantity]]</f>
        <v/>
      </c>
      <c r="O371" s="4" t="inlineStr">
        <is>
          <t>TOOL,BEARING INSTL:15.008.20052;BPW</t>
        </is>
      </c>
      <c r="P371" s="5" t="inlineStr">
        <is>
          <t>NA</t>
        </is>
      </c>
      <c r="Q371" s="13" t="inlineStr">
        <is>
          <t>NA</t>
        </is>
      </c>
      <c r="R371" s="7" t="n">
        <v>3</v>
      </c>
      <c r="S371" s="7">
        <f>IFERROR($R371/$G371,"")</f>
        <v/>
      </c>
      <c r="T371" s="7" t="inlineStr">
        <is>
          <t>NA</t>
        </is>
      </c>
      <c r="U371" s="7" t="inlineStr">
        <is>
          <t>NA</t>
        </is>
      </c>
      <c r="V371" s="7" t="inlineStr">
        <is>
          <t>NA</t>
        </is>
      </c>
      <c r="W371" s="9">
        <f>IF(ISNUMBER($T371),$T371*$J371*Assumptions!$B$4,"NA")</f>
        <v/>
      </c>
      <c r="X371" s="9">
        <f>IF(ISNUMBER($U371),$U371*$J371*Assumptions!$B$4,"NA")</f>
        <v/>
      </c>
      <c r="Y371" s="9">
        <f>IF(ISNUMBER($V371),$V371*$J371*Assumptions!$B$4,"NA")</f>
        <v/>
      </c>
    </row>
    <row r="372">
      <c r="A372" s="5" t="inlineStr">
        <is>
          <t>SSB Parts</t>
        </is>
      </c>
      <c r="B372" s="5" t="inlineStr">
        <is>
          <t>Brake and suspension</t>
        </is>
      </c>
      <c r="C372" s="5" t="inlineStr">
        <is>
          <t>MSM Group LLC</t>
        </is>
      </c>
      <c r="D372" s="5" t="inlineStr">
        <is>
          <t>Trader/Distributor</t>
        </is>
      </c>
      <c r="E372" s="5" t="inlineStr">
        <is>
          <t>Mongolia</t>
        </is>
      </c>
      <c r="F372" s="5" t="n">
        <v>2025</v>
      </c>
      <c r="G372" s="5" t="n">
        <v>2</v>
      </c>
      <c r="H372" s="7" t="n">
        <v>188.77</v>
      </c>
      <c r="I372" s="5" t="inlineStr">
        <is>
          <t>USD</t>
        </is>
      </c>
      <c r="J372" s="8">
        <f>IF($I372="AUD",Assumptions!$B$2,Assumptions!$B$3)</f>
        <v/>
      </c>
      <c r="K372" s="9">
        <f>$G372*$H372*$J372</f>
        <v/>
      </c>
      <c r="L372" s="9">
        <f>$K372*Assumptions!$B$4</f>
        <v/>
      </c>
      <c r="M372" s="9">
        <f>RawTx[[#This Row],[Value USD]]/RawTx[[#This Row],[Quantity]]</f>
        <v/>
      </c>
      <c r="N372" s="9">
        <f>RawTx[[#This Row],[Value IDR]]/RawTx[[#This Row],[Quantity]]</f>
        <v/>
      </c>
      <c r="O372" s="4" t="inlineStr">
        <is>
          <t>BRAKE SHOE:SN 4420 ECO DRUM</t>
        </is>
      </c>
      <c r="P372" s="5" t="inlineStr">
        <is>
          <t>NA</t>
        </is>
      </c>
      <c r="Q372" s="13" t="inlineStr">
        <is>
          <t>NA</t>
        </is>
      </c>
      <c r="R372" s="7" t="n">
        <v>23.4</v>
      </c>
      <c r="S372" s="7">
        <f>IFERROR($R372/$G372,"")</f>
        <v/>
      </c>
      <c r="T372" s="7" t="inlineStr">
        <is>
          <t>NA</t>
        </is>
      </c>
      <c r="U372" s="7" t="inlineStr">
        <is>
          <t>NA</t>
        </is>
      </c>
      <c r="V372" s="7" t="inlineStr">
        <is>
          <t>NA</t>
        </is>
      </c>
      <c r="W372" s="9">
        <f>IF(ISNUMBER($T372),$T372*$J372*Assumptions!$B$4,"NA")</f>
        <v/>
      </c>
      <c r="X372" s="9">
        <f>IF(ISNUMBER($U372),$U372*$J372*Assumptions!$B$4,"NA")</f>
        <v/>
      </c>
      <c r="Y372" s="9">
        <f>IF(ISNUMBER($V372),$V372*$J372*Assumptions!$B$4,"NA")</f>
        <v/>
      </c>
    </row>
    <row r="373">
      <c r="A373" s="5" t="inlineStr">
        <is>
          <t>SSB Parts</t>
        </is>
      </c>
      <c r="B373" s="5" t="inlineStr">
        <is>
          <t>Brake and suspension</t>
        </is>
      </c>
      <c r="C373" s="5" t="inlineStr">
        <is>
          <t>MSM Group LLC</t>
        </is>
      </c>
      <c r="D373" s="5" t="inlineStr">
        <is>
          <t>Trader/Distributor</t>
        </is>
      </c>
      <c r="E373" s="5" t="inlineStr">
        <is>
          <t>Mongolia</t>
        </is>
      </c>
      <c r="F373" s="5" t="n">
        <v>2025</v>
      </c>
      <c r="G373" s="5" t="n">
        <v>5</v>
      </c>
      <c r="H373" s="7" t="n">
        <v>3132.04</v>
      </c>
      <c r="I373" s="5" t="inlineStr">
        <is>
          <t>USD</t>
        </is>
      </c>
      <c r="J373" s="8">
        <f>IF($I373="AUD",Assumptions!$B$2,Assumptions!$B$3)</f>
        <v/>
      </c>
      <c r="K373" s="9">
        <f>$G373*$H373*$J373</f>
        <v/>
      </c>
      <c r="L373" s="9">
        <f>$K373*Assumptions!$B$4</f>
        <v/>
      </c>
      <c r="M373" s="9">
        <f>RawTx[[#This Row],[Value USD]]/RawTx[[#This Row],[Quantity]]</f>
        <v/>
      </c>
      <c r="N373" s="9">
        <f>RawTx[[#This Row],[Value IDR]]/RawTx[[#This Row],[Quantity]]</f>
        <v/>
      </c>
      <c r="O373" s="4" t="inlineStr">
        <is>
          <t>TRLR BRAKE:TRI AXLE SEMI A CORE</t>
        </is>
      </c>
      <c r="P373" s="5" t="inlineStr">
        <is>
          <t>NA</t>
        </is>
      </c>
      <c r="Q373" s="13" t="inlineStr">
        <is>
          <t>NA</t>
        </is>
      </c>
      <c r="R373" s="7" t="n">
        <v>185</v>
      </c>
      <c r="S373" s="7">
        <f>IFERROR($R373/$G373,"")</f>
        <v/>
      </c>
      <c r="T373" s="7" t="inlineStr">
        <is>
          <t>NA</t>
        </is>
      </c>
      <c r="U373" s="7" t="inlineStr">
        <is>
          <t>NA</t>
        </is>
      </c>
      <c r="V373" s="7" t="inlineStr">
        <is>
          <t>NA</t>
        </is>
      </c>
      <c r="W373" s="9">
        <f>IF(ISNUMBER($T373),$T373*$J373*Assumptions!$B$4,"NA")</f>
        <v/>
      </c>
      <c r="X373" s="9">
        <f>IF(ISNUMBER($U373),$U373*$J373*Assumptions!$B$4,"NA")</f>
        <v/>
      </c>
      <c r="Y373" s="9">
        <f>IF(ISNUMBER($V373),$V373*$J373*Assumptions!$B$4,"NA")</f>
        <v/>
      </c>
    </row>
    <row r="374">
      <c r="A374" s="5" t="inlineStr">
        <is>
          <t>SSB Parts</t>
        </is>
      </c>
      <c r="B374" s="5" t="inlineStr">
        <is>
          <t>Brake and suspension</t>
        </is>
      </c>
      <c r="C374" s="5" t="inlineStr">
        <is>
          <t>MSM Group LLC</t>
        </is>
      </c>
      <c r="D374" s="5" t="inlineStr">
        <is>
          <t>Trader/Distributor</t>
        </is>
      </c>
      <c r="E374" s="5" t="inlineStr">
        <is>
          <t>Mongolia</t>
        </is>
      </c>
      <c r="F374" s="5" t="n">
        <v>2025</v>
      </c>
      <c r="G374" s="5" t="n">
        <v>10</v>
      </c>
      <c r="H374" s="7" t="n">
        <v>3132.04</v>
      </c>
      <c r="I374" s="5" t="inlineStr">
        <is>
          <t>USD</t>
        </is>
      </c>
      <c r="J374" s="8">
        <f>IF($I374="AUD",Assumptions!$B$2,Assumptions!$B$3)</f>
        <v/>
      </c>
      <c r="K374" s="9">
        <f>$G374*$H374*$J374</f>
        <v/>
      </c>
      <c r="L374" s="9">
        <f>$K374*Assumptions!$B$4</f>
        <v/>
      </c>
      <c r="M374" s="9">
        <f>RawTx[[#This Row],[Value USD]]/RawTx[[#This Row],[Quantity]]</f>
        <v/>
      </c>
      <c r="N374" s="9">
        <f>RawTx[[#This Row],[Value IDR]]/RawTx[[#This Row],[Quantity]]</f>
        <v/>
      </c>
      <c r="O374" s="4" t="inlineStr">
        <is>
          <t>TRLR BRAKE:TRI AXLE SEMI A CORE</t>
        </is>
      </c>
      <c r="P374" s="5" t="inlineStr">
        <is>
          <t>NA</t>
        </is>
      </c>
      <c r="Q374" s="13" t="inlineStr">
        <is>
          <t>NA</t>
        </is>
      </c>
      <c r="R374" s="7" t="n">
        <v>370</v>
      </c>
      <c r="S374" s="7">
        <f>IFERROR($R374/$G374,"")</f>
        <v/>
      </c>
      <c r="T374" s="7" t="inlineStr">
        <is>
          <t>NA</t>
        </is>
      </c>
      <c r="U374" s="7" t="inlineStr">
        <is>
          <t>NA</t>
        </is>
      </c>
      <c r="V374" s="7" t="inlineStr">
        <is>
          <t>NA</t>
        </is>
      </c>
      <c r="W374" s="9">
        <f>IF(ISNUMBER($T374),$T374*$J374*Assumptions!$B$4,"NA")</f>
        <v/>
      </c>
      <c r="X374" s="9">
        <f>IF(ISNUMBER($U374),$U374*$J374*Assumptions!$B$4,"NA")</f>
        <v/>
      </c>
      <c r="Y374" s="9">
        <f>IF(ISNUMBER($V374),$V374*$J374*Assumptions!$B$4,"NA")</f>
        <v/>
      </c>
    </row>
    <row r="375">
      <c r="A375" s="5" t="inlineStr">
        <is>
          <t>SSB Parts</t>
        </is>
      </c>
      <c r="B375" s="5" t="inlineStr">
        <is>
          <t>Brake and suspension</t>
        </is>
      </c>
      <c r="C375" s="5" t="inlineStr">
        <is>
          <t>MSM Group LLC</t>
        </is>
      </c>
      <c r="D375" s="5" t="inlineStr">
        <is>
          <t>Trader/Distributor</t>
        </is>
      </c>
      <c r="E375" s="5" t="inlineStr">
        <is>
          <t>Mongolia</t>
        </is>
      </c>
      <c r="F375" s="5" t="n">
        <v>2025</v>
      </c>
      <c r="G375" s="5" t="n">
        <v>14</v>
      </c>
      <c r="H375" s="7" t="n">
        <v>3000.37</v>
      </c>
      <c r="I375" s="5" t="inlineStr">
        <is>
          <t>USD</t>
        </is>
      </c>
      <c r="J375" s="8">
        <f>IF($I375="AUD",Assumptions!$B$2,Assumptions!$B$3)</f>
        <v/>
      </c>
      <c r="K375" s="9">
        <f>$G375*$H375*$J375</f>
        <v/>
      </c>
      <c r="L375" s="9">
        <f>$K375*Assumptions!$B$4</f>
        <v/>
      </c>
      <c r="M375" s="9">
        <f>RawTx[[#This Row],[Value USD]]/RawTx[[#This Row],[Quantity]]</f>
        <v/>
      </c>
      <c r="N375" s="9">
        <f>RawTx[[#This Row],[Value IDR]]/RawTx[[#This Row],[Quantity]]</f>
        <v/>
      </c>
      <c r="O375" s="4" t="inlineStr">
        <is>
          <t>TRLR BRAKE:FOUR AXLE SEMI A CORE</t>
        </is>
      </c>
      <c r="P375" s="5" t="inlineStr">
        <is>
          <t>NA</t>
        </is>
      </c>
      <c r="Q375" s="13" t="inlineStr">
        <is>
          <t>NA</t>
        </is>
      </c>
      <c r="R375" s="7" t="n">
        <v>514</v>
      </c>
      <c r="S375" s="7">
        <f>IFERROR($R375/$G375,"")</f>
        <v/>
      </c>
      <c r="T375" s="7" t="inlineStr">
        <is>
          <t>NA</t>
        </is>
      </c>
      <c r="U375" s="7" t="inlineStr">
        <is>
          <t>NA</t>
        </is>
      </c>
      <c r="V375" s="7" t="inlineStr">
        <is>
          <t>NA</t>
        </is>
      </c>
      <c r="W375" s="9">
        <f>IF(ISNUMBER($T375),$T375*$J375*Assumptions!$B$4,"NA")</f>
        <v/>
      </c>
      <c r="X375" s="9">
        <f>IF(ISNUMBER($U375),$U375*$J375*Assumptions!$B$4,"NA")</f>
        <v/>
      </c>
      <c r="Y375" s="9">
        <f>IF(ISNUMBER($V375),$V375*$J375*Assumptions!$B$4,"NA")</f>
        <v/>
      </c>
    </row>
    <row r="376">
      <c r="A376" s="5" t="inlineStr">
        <is>
          <t>SSB Parts</t>
        </is>
      </c>
      <c r="B376" s="5" t="inlineStr">
        <is>
          <t>Brake and suspension</t>
        </is>
      </c>
      <c r="C376" s="5" t="inlineStr">
        <is>
          <t>MSM Group LLC</t>
        </is>
      </c>
      <c r="D376" s="5" t="inlineStr">
        <is>
          <t>Trader/Distributor</t>
        </is>
      </c>
      <c r="E376" s="5" t="inlineStr">
        <is>
          <t>Mongolia</t>
        </is>
      </c>
      <c r="F376" s="5" t="n">
        <v>2025</v>
      </c>
      <c r="G376" s="5" t="n">
        <v>8</v>
      </c>
      <c r="H376" s="7" t="n">
        <v>3000.37</v>
      </c>
      <c r="I376" s="5" t="inlineStr">
        <is>
          <t>USD</t>
        </is>
      </c>
      <c r="J376" s="8">
        <f>IF($I376="AUD",Assumptions!$B$2,Assumptions!$B$3)</f>
        <v/>
      </c>
      <c r="K376" s="9">
        <f>$G376*$H376*$J376</f>
        <v/>
      </c>
      <c r="L376" s="9">
        <f>$K376*Assumptions!$B$4</f>
        <v/>
      </c>
      <c r="M376" s="9">
        <f>RawTx[[#This Row],[Value USD]]/RawTx[[#This Row],[Quantity]]</f>
        <v/>
      </c>
      <c r="N376" s="9">
        <f>RawTx[[#This Row],[Value IDR]]/RawTx[[#This Row],[Quantity]]</f>
        <v/>
      </c>
      <c r="O376" s="4" t="inlineStr">
        <is>
          <t>TRLR BRAKE:QUAD AXLE SEMI A CORE</t>
        </is>
      </c>
      <c r="P376" s="5" t="inlineStr">
        <is>
          <t>NA</t>
        </is>
      </c>
      <c r="Q376" s="13" t="inlineStr">
        <is>
          <t>NA</t>
        </is>
      </c>
      <c r="R376" s="7" t="n">
        <v>295</v>
      </c>
      <c r="S376" s="7">
        <f>IFERROR($R376/$G376,"")</f>
        <v/>
      </c>
      <c r="T376" s="7" t="inlineStr">
        <is>
          <t>NA</t>
        </is>
      </c>
      <c r="U376" s="7" t="inlineStr">
        <is>
          <t>NA</t>
        </is>
      </c>
      <c r="V376" s="7" t="inlineStr">
        <is>
          <t>NA</t>
        </is>
      </c>
      <c r="W376" s="9">
        <f>IF(ISNUMBER($T376),$T376*$J376*Assumptions!$B$4,"NA")</f>
        <v/>
      </c>
      <c r="X376" s="9">
        <f>IF(ISNUMBER($U376),$U376*$J376*Assumptions!$B$4,"NA")</f>
        <v/>
      </c>
      <c r="Y376" s="9">
        <f>IF(ISNUMBER($V376),$V376*$J376*Assumptions!$B$4,"NA")</f>
        <v/>
      </c>
    </row>
    <row r="377">
      <c r="A377" s="5" t="inlineStr">
        <is>
          <t>SSB Parts</t>
        </is>
      </c>
      <c r="B377" s="5" t="inlineStr">
        <is>
          <t>Brake and suspension</t>
        </is>
      </c>
      <c r="C377" s="5" t="inlineStr">
        <is>
          <t>MSM Group LLC</t>
        </is>
      </c>
      <c r="D377" s="5" t="inlineStr">
        <is>
          <t>Trader/Distributor</t>
        </is>
      </c>
      <c r="E377" s="5" t="inlineStr">
        <is>
          <t>Mongolia</t>
        </is>
      </c>
      <c r="F377" s="5" t="n">
        <v>2025</v>
      </c>
      <c r="G377" s="5" t="n">
        <v>2</v>
      </c>
      <c r="H377" s="7" t="n">
        <v>188.77</v>
      </c>
      <c r="I377" s="5" t="inlineStr">
        <is>
          <t>USD</t>
        </is>
      </c>
      <c r="J377" s="8">
        <f>IF($I377="AUD",Assumptions!$B$2,Assumptions!$B$3)</f>
        <v/>
      </c>
      <c r="K377" s="9">
        <f>$G377*$H377*$J377</f>
        <v/>
      </c>
      <c r="L377" s="9">
        <f>$K377*Assumptions!$B$4</f>
        <v/>
      </c>
      <c r="M377" s="9">
        <f>RawTx[[#This Row],[Value USD]]/RawTx[[#This Row],[Quantity]]</f>
        <v/>
      </c>
      <c r="N377" s="9">
        <f>RawTx[[#This Row],[Value IDR]]/RawTx[[#This Row],[Quantity]]</f>
        <v/>
      </c>
      <c r="O377" s="4" t="inlineStr">
        <is>
          <t>BRAKE SHOE:SN 4420 ECO DRUM</t>
        </is>
      </c>
      <c r="P377" s="5" t="inlineStr">
        <is>
          <t>NA</t>
        </is>
      </c>
      <c r="Q377" s="13" t="inlineStr">
        <is>
          <t>NA</t>
        </is>
      </c>
      <c r="R377" s="7" t="n">
        <v>23.3</v>
      </c>
      <c r="S377" s="7">
        <f>IFERROR($R377/$G377,"")</f>
        <v/>
      </c>
      <c r="T377" s="7" t="inlineStr">
        <is>
          <t>NA</t>
        </is>
      </c>
      <c r="U377" s="7" t="inlineStr">
        <is>
          <t>NA</t>
        </is>
      </c>
      <c r="V377" s="7" t="inlineStr">
        <is>
          <t>NA</t>
        </is>
      </c>
      <c r="W377" s="9">
        <f>IF(ISNUMBER($T377),$T377*$J377*Assumptions!$B$4,"NA")</f>
        <v/>
      </c>
      <c r="X377" s="9">
        <f>IF(ISNUMBER($U377),$U377*$J377*Assumptions!$B$4,"NA")</f>
        <v/>
      </c>
      <c r="Y377" s="9">
        <f>IF(ISNUMBER($V377),$V377*$J377*Assumptions!$B$4,"NA")</f>
        <v/>
      </c>
    </row>
    <row r="378">
      <c r="A378" s="5" t="inlineStr">
        <is>
          <t>SSB Parts</t>
        </is>
      </c>
      <c r="B378" s="5" t="inlineStr">
        <is>
          <t>Brake and suspension</t>
        </is>
      </c>
      <c r="C378" s="5" t="inlineStr">
        <is>
          <t>MSM Group LLC</t>
        </is>
      </c>
      <c r="D378" s="5" t="inlineStr">
        <is>
          <t>Trader/Distributor</t>
        </is>
      </c>
      <c r="E378" s="5" t="inlineStr">
        <is>
          <t>Mongolia</t>
        </is>
      </c>
      <c r="F378" s="5" t="n">
        <v>2025</v>
      </c>
      <c r="G378" s="5" t="n">
        <v>5</v>
      </c>
      <c r="H378" s="7" t="n">
        <v>345.25</v>
      </c>
      <c r="I378" s="5" t="inlineStr">
        <is>
          <t>USD</t>
        </is>
      </c>
      <c r="J378" s="8">
        <f>IF($I378="AUD",Assumptions!$B$2,Assumptions!$B$3)</f>
        <v/>
      </c>
      <c r="K378" s="9">
        <f>$G378*$H378*$J378</f>
        <v/>
      </c>
      <c r="L378" s="9">
        <f>$K378*Assumptions!$B$4</f>
        <v/>
      </c>
      <c r="M378" s="9">
        <f>RawTx[[#This Row],[Value USD]]/RawTx[[#This Row],[Quantity]]</f>
        <v/>
      </c>
      <c r="N378" s="9">
        <f>RawTx[[#This Row],[Value IDR]]/RawTx[[#This Row],[Quantity]]</f>
        <v/>
      </c>
      <c r="O378" s="4" t="inlineStr">
        <is>
          <t>CHAMBER,BRAKE:30/30;1;252MM</t>
        </is>
      </c>
      <c r="P378" s="5" t="inlineStr">
        <is>
          <t>NA</t>
        </is>
      </c>
      <c r="Q378" s="13" t="inlineStr">
        <is>
          <t>NA</t>
        </is>
      </c>
      <c r="R378" s="7" t="n">
        <v>63</v>
      </c>
      <c r="S378" s="7">
        <f>IFERROR($R378/$G378,"")</f>
        <v/>
      </c>
      <c r="T378" s="7" t="inlineStr">
        <is>
          <t>NA</t>
        </is>
      </c>
      <c r="U378" s="7" t="inlineStr">
        <is>
          <t>NA</t>
        </is>
      </c>
      <c r="V378" s="7" t="inlineStr">
        <is>
          <t>NA</t>
        </is>
      </c>
      <c r="W378" s="9">
        <f>IF(ISNUMBER($T378),$T378*$J378*Assumptions!$B$4,"NA")</f>
        <v/>
      </c>
      <c r="X378" s="9">
        <f>IF(ISNUMBER($U378),$U378*$J378*Assumptions!$B$4,"NA")</f>
        <v/>
      </c>
      <c r="Y378" s="9">
        <f>IF(ISNUMBER($V378),$V378*$J378*Assumptions!$B$4,"NA")</f>
        <v/>
      </c>
    </row>
    <row r="379">
      <c r="A379" s="5" t="inlineStr">
        <is>
          <t>SSB Parts</t>
        </is>
      </c>
      <c r="B379" s="5" t="inlineStr">
        <is>
          <t>Brake and suspension</t>
        </is>
      </c>
      <c r="C379" s="5" t="inlineStr">
        <is>
          <t>MSM Group LLC</t>
        </is>
      </c>
      <c r="D379" s="5" t="inlineStr">
        <is>
          <t>Trader/Distributor</t>
        </is>
      </c>
      <c r="E379" s="5" t="inlineStr">
        <is>
          <t>Mongolia</t>
        </is>
      </c>
      <c r="F379" s="5" t="n">
        <v>2025</v>
      </c>
      <c r="G379" s="5" t="n">
        <v>3</v>
      </c>
      <c r="H379" s="7" t="n">
        <v>298</v>
      </c>
      <c r="I379" s="5" t="inlineStr">
        <is>
          <t>USD</t>
        </is>
      </c>
      <c r="J379" s="8">
        <f>IF($I379="AUD",Assumptions!$B$2,Assumptions!$B$3)</f>
        <v/>
      </c>
      <c r="K379" s="9">
        <f>$G379*$H379*$J379</f>
        <v/>
      </c>
      <c r="L379" s="9">
        <f>$K379*Assumptions!$B$4</f>
        <v/>
      </c>
      <c r="M379" s="9">
        <f>RawTx[[#This Row],[Value USD]]/RawTx[[#This Row],[Quantity]]</f>
        <v/>
      </c>
      <c r="N379" s="9">
        <f>RawTx[[#This Row],[Value IDR]]/RawTx[[#This Row],[Quantity]]</f>
        <v/>
      </c>
      <c r="O379" s="4" t="inlineStr">
        <is>
          <t>CHAMBER,BRAKE:65/65MM;1;252MM</t>
        </is>
      </c>
      <c r="P379" s="5" t="inlineStr">
        <is>
          <t>NA</t>
        </is>
      </c>
      <c r="Q379" s="13" t="inlineStr">
        <is>
          <t>NA</t>
        </is>
      </c>
      <c r="R379" s="7" t="n">
        <v>53</v>
      </c>
      <c r="S379" s="7">
        <f>IFERROR($R379/$G379,"")</f>
        <v/>
      </c>
      <c r="T379" s="7" t="inlineStr">
        <is>
          <t>NA</t>
        </is>
      </c>
      <c r="U379" s="7" t="inlineStr">
        <is>
          <t>NA</t>
        </is>
      </c>
      <c r="V379" s="7" t="inlineStr">
        <is>
          <t>NA</t>
        </is>
      </c>
      <c r="W379" s="9">
        <f>IF(ISNUMBER($T379),$T379*$J379*Assumptions!$B$4,"NA")</f>
        <v/>
      </c>
      <c r="X379" s="9">
        <f>IF(ISNUMBER($U379),$U379*$J379*Assumptions!$B$4,"NA")</f>
        <v/>
      </c>
      <c r="Y379" s="9">
        <f>IF(ISNUMBER($V379),$V379*$J379*Assumptions!$B$4,"NA")</f>
        <v/>
      </c>
    </row>
    <row r="380">
      <c r="A380" s="5" t="inlineStr">
        <is>
          <t>SSB Parts</t>
        </is>
      </c>
      <c r="B380" s="5" t="inlineStr">
        <is>
          <t>Brake and suspension</t>
        </is>
      </c>
      <c r="C380" s="5" t="inlineStr">
        <is>
          <t>MSM Group LLC</t>
        </is>
      </c>
      <c r="D380" s="5" t="inlineStr">
        <is>
          <t>Trader/Distributor</t>
        </is>
      </c>
      <c r="E380" s="5" t="inlineStr">
        <is>
          <t>Mongolia</t>
        </is>
      </c>
      <c r="F380" s="5" t="n">
        <v>2025</v>
      </c>
      <c r="G380" s="5" t="n">
        <v>2</v>
      </c>
      <c r="H380" s="7" t="n">
        <v>227.46</v>
      </c>
      <c r="I380" s="5" t="inlineStr">
        <is>
          <t>USD</t>
        </is>
      </c>
      <c r="J380" s="8">
        <f>IF($I380="AUD",Assumptions!$B$2,Assumptions!$B$3)</f>
        <v/>
      </c>
      <c r="K380" s="9">
        <f>$G380*$H380*$J380</f>
        <v/>
      </c>
      <c r="L380" s="9">
        <f>$K380*Assumptions!$B$4</f>
        <v/>
      </c>
      <c r="M380" s="9">
        <f>RawTx[[#This Row],[Value USD]]/RawTx[[#This Row],[Quantity]]</f>
        <v/>
      </c>
      <c r="N380" s="9">
        <f>RawTx[[#This Row],[Value IDR]]/RawTx[[#This Row],[Quantity]]</f>
        <v/>
      </c>
      <c r="O380" s="4" t="inlineStr">
        <is>
          <t>BREATHER:PA;10 MIC;ANTI-SPLASH;1/21N BSP</t>
        </is>
      </c>
      <c r="P380" s="5" t="inlineStr">
        <is>
          <t>NA</t>
        </is>
      </c>
      <c r="Q380" s="13" t="inlineStr">
        <is>
          <t>NA</t>
        </is>
      </c>
      <c r="R380" s="7" t="n">
        <v>1</v>
      </c>
      <c r="S380" s="7">
        <f>IFERROR($R380/$G380,"")</f>
        <v/>
      </c>
      <c r="T380" s="7" t="inlineStr">
        <is>
          <t>NA</t>
        </is>
      </c>
      <c r="U380" s="7" t="inlineStr">
        <is>
          <t>NA</t>
        </is>
      </c>
      <c r="V380" s="7" t="inlineStr">
        <is>
          <t>NA</t>
        </is>
      </c>
      <c r="W380" s="9">
        <f>IF(ISNUMBER($T380),$T380*$J380*Assumptions!$B$4,"NA")</f>
        <v/>
      </c>
      <c r="X380" s="9">
        <f>IF(ISNUMBER($U380),$U380*$J380*Assumptions!$B$4,"NA")</f>
        <v/>
      </c>
      <c r="Y380" s="9">
        <f>IF(ISNUMBER($V380),$V380*$J380*Assumptions!$B$4,"NA")</f>
        <v/>
      </c>
    </row>
    <row r="381">
      <c r="A381" s="5" t="inlineStr">
        <is>
          <t>SSB Parts</t>
        </is>
      </c>
      <c r="B381" s="5" t="inlineStr">
        <is>
          <t>Brake and suspension</t>
        </is>
      </c>
      <c r="C381" s="5" t="inlineStr">
        <is>
          <t>MSM Group LLC</t>
        </is>
      </c>
      <c r="D381" s="5" t="inlineStr">
        <is>
          <t>Trader/Distributor</t>
        </is>
      </c>
      <c r="E381" s="5" t="inlineStr">
        <is>
          <t>Mongolia</t>
        </is>
      </c>
      <c r="F381" s="5" t="n">
        <v>2025</v>
      </c>
      <c r="G381" s="5" t="n">
        <v>10</v>
      </c>
      <c r="H381" s="7" t="n">
        <v>84.38</v>
      </c>
      <c r="I381" s="5" t="inlineStr">
        <is>
          <t>USD</t>
        </is>
      </c>
      <c r="J381" s="8">
        <f>IF($I381="AUD",Assumptions!$B$2,Assumptions!$B$3)</f>
        <v/>
      </c>
      <c r="K381" s="9">
        <f>$G381*$H381*$J381</f>
        <v/>
      </c>
      <c r="L381" s="9">
        <f>$K381*Assumptions!$B$4</f>
        <v/>
      </c>
      <c r="M381" s="9">
        <f>RawTx[[#This Row],[Value USD]]/RawTx[[#This Row],[Quantity]]</f>
        <v/>
      </c>
      <c r="N381" s="9">
        <f>RawTx[[#This Row],[Value IDR]]/RawTx[[#This Row],[Quantity]]</f>
        <v/>
      </c>
      <c r="O381" s="4" t="inlineStr">
        <is>
          <t>BREATHER:PA;10 MIC;ANTI- SPLASH;1/2IN BSP</t>
        </is>
      </c>
      <c r="P381" s="5" t="inlineStr">
        <is>
          <t>NA</t>
        </is>
      </c>
      <c r="Q381" s="13" t="inlineStr">
        <is>
          <t>NA</t>
        </is>
      </c>
      <c r="R381" s="7" t="n">
        <v>2</v>
      </c>
      <c r="S381" s="7">
        <f>IFERROR($R381/$G381,"")</f>
        <v/>
      </c>
      <c r="T381" s="7" t="inlineStr">
        <is>
          <t>NA</t>
        </is>
      </c>
      <c r="U381" s="7" t="inlineStr">
        <is>
          <t>NA</t>
        </is>
      </c>
      <c r="V381" s="7" t="inlineStr">
        <is>
          <t>NA</t>
        </is>
      </c>
      <c r="W381" s="9">
        <f>IF(ISNUMBER($T381),$T381*$J381*Assumptions!$B$4,"NA")</f>
        <v/>
      </c>
      <c r="X381" s="9">
        <f>IF(ISNUMBER($U381),$U381*$J381*Assumptions!$B$4,"NA")</f>
        <v/>
      </c>
      <c r="Y381" s="9">
        <f>IF(ISNUMBER($V381),$V381*$J381*Assumptions!$B$4,"NA")</f>
        <v/>
      </c>
    </row>
    <row r="382">
      <c r="A382" s="5" t="inlineStr">
        <is>
          <t>SSB Parts</t>
        </is>
      </c>
      <c r="B382" s="5" t="inlineStr">
        <is>
          <t>Brake and suspension</t>
        </is>
      </c>
      <c r="C382" s="5" t="inlineStr">
        <is>
          <t>MSM Group LLC</t>
        </is>
      </c>
      <c r="D382" s="5" t="inlineStr">
        <is>
          <t>Trader/Distributor</t>
        </is>
      </c>
      <c r="E382" s="5" t="inlineStr">
        <is>
          <t>Mongolia</t>
        </is>
      </c>
      <c r="F382" s="5" t="n">
        <v>2025</v>
      </c>
      <c r="G382" s="5" t="n">
        <v>4</v>
      </c>
      <c r="H382" s="7" t="n">
        <v>336.01</v>
      </c>
      <c r="I382" s="5" t="inlineStr">
        <is>
          <t>USD</t>
        </is>
      </c>
      <c r="J382" s="8">
        <f>IF($I382="AUD",Assumptions!$B$2,Assumptions!$B$3)</f>
        <v/>
      </c>
      <c r="K382" s="9">
        <f>$G382*$H382*$J382</f>
        <v/>
      </c>
      <c r="L382" s="9">
        <f>$K382*Assumptions!$B$4</f>
        <v/>
      </c>
      <c r="M382" s="9">
        <f>RawTx[[#This Row],[Value USD]]/RawTx[[#This Row],[Quantity]]</f>
        <v/>
      </c>
      <c r="N382" s="9">
        <f>RawTx[[#This Row],[Value IDR]]/RawTx[[#This Row],[Quantity]]</f>
        <v/>
      </c>
      <c r="O382" s="4" t="inlineStr">
        <is>
          <t>VALVE ASSY:973-011-000-0-C02;GOUGH</t>
        </is>
      </c>
      <c r="P382" s="5" t="inlineStr">
        <is>
          <t>NA</t>
        </is>
      </c>
      <c r="Q382" s="13" t="inlineStr">
        <is>
          <t>NA</t>
        </is>
      </c>
      <c r="R382" s="7" t="n">
        <v>6.14</v>
      </c>
      <c r="S382" s="7">
        <f>IFERROR($R382/$G382,"")</f>
        <v/>
      </c>
      <c r="T382" s="7" t="inlineStr">
        <is>
          <t>NA</t>
        </is>
      </c>
      <c r="U382" s="7" t="inlineStr">
        <is>
          <t>NA</t>
        </is>
      </c>
      <c r="V382" s="7" t="inlineStr">
        <is>
          <t>NA</t>
        </is>
      </c>
      <c r="W382" s="9">
        <f>IF(ISNUMBER($T382),$T382*$J382*Assumptions!$B$4,"NA")</f>
        <v/>
      </c>
      <c r="X382" s="9">
        <f>IF(ISNUMBER($U382),$U382*$J382*Assumptions!$B$4,"NA")</f>
        <v/>
      </c>
      <c r="Y382" s="9">
        <f>IF(ISNUMBER($V382),$V382*$J382*Assumptions!$B$4,"NA")</f>
        <v/>
      </c>
    </row>
    <row r="383">
      <c r="A383" s="5" t="inlineStr">
        <is>
          <t>SSB Parts</t>
        </is>
      </c>
      <c r="B383" s="5" t="inlineStr">
        <is>
          <t>Brake and suspension</t>
        </is>
      </c>
      <c r="C383" s="5" t="inlineStr">
        <is>
          <t>MSM Group LLC</t>
        </is>
      </c>
      <c r="D383" s="5" t="inlineStr">
        <is>
          <t>Trader/Distributor</t>
        </is>
      </c>
      <c r="E383" s="5" t="inlineStr">
        <is>
          <t>Mongolia</t>
        </is>
      </c>
      <c r="F383" s="5" t="n">
        <v>2025</v>
      </c>
      <c r="G383" s="5" t="n">
        <v>5</v>
      </c>
      <c r="H383" s="7" t="n">
        <v>193.46</v>
      </c>
      <c r="I383" s="5" t="inlineStr">
        <is>
          <t>USD</t>
        </is>
      </c>
      <c r="J383" s="8">
        <f>IF($I383="AUD",Assumptions!$B$2,Assumptions!$B$3)</f>
        <v/>
      </c>
      <c r="K383" s="9">
        <f>$G383*$H383*$J383</f>
        <v/>
      </c>
      <c r="L383" s="9">
        <f>$K383*Assumptions!$B$4</f>
        <v/>
      </c>
      <c r="M383" s="9">
        <f>RawTx[[#This Row],[Value USD]]/RawTx[[#This Row],[Quantity]]</f>
        <v/>
      </c>
      <c r="N383" s="9">
        <f>RawTx[[#This Row],[Value IDR]]/RawTx[[#This Row],[Quantity]]</f>
        <v/>
      </c>
      <c r="O383" s="4" t="inlineStr">
        <is>
          <t>VALVE,RELAY,AIR PRES:973-011-006-0-COL</t>
        </is>
      </c>
      <c r="P383" s="5" t="inlineStr">
        <is>
          <t>NA</t>
        </is>
      </c>
      <c r="Q383" s="13" t="inlineStr">
        <is>
          <t>NA</t>
        </is>
      </c>
      <c r="R383" s="7" t="n">
        <v>4.42</v>
      </c>
      <c r="S383" s="7">
        <f>IFERROR($R383/$G383,"")</f>
        <v/>
      </c>
      <c r="T383" s="7" t="inlineStr">
        <is>
          <t>NA</t>
        </is>
      </c>
      <c r="U383" s="7" t="inlineStr">
        <is>
          <t>NA</t>
        </is>
      </c>
      <c r="V383" s="7" t="inlineStr">
        <is>
          <t>NA</t>
        </is>
      </c>
      <c r="W383" s="9">
        <f>IF(ISNUMBER($T383),$T383*$J383*Assumptions!$B$4,"NA")</f>
        <v/>
      </c>
      <c r="X383" s="9">
        <f>IF(ISNUMBER($U383),$U383*$J383*Assumptions!$B$4,"NA")</f>
        <v/>
      </c>
      <c r="Y383" s="9">
        <f>IF(ISNUMBER($V383),$V383*$J383*Assumptions!$B$4,"NA")</f>
        <v/>
      </c>
    </row>
    <row r="384">
      <c r="A384" s="5" t="inlineStr">
        <is>
          <t>SSB Parts</t>
        </is>
      </c>
      <c r="B384" s="5" t="inlineStr">
        <is>
          <t>Brake and suspension</t>
        </is>
      </c>
      <c r="C384" s="5" t="inlineStr">
        <is>
          <t>MSM Group LLC</t>
        </is>
      </c>
      <c r="D384" s="5" t="inlineStr">
        <is>
          <t>Trader/Distributor</t>
        </is>
      </c>
      <c r="E384" s="5" t="inlineStr">
        <is>
          <t>Mongolia</t>
        </is>
      </c>
      <c r="F384" s="5" t="n">
        <v>2025</v>
      </c>
      <c r="G384" s="5" t="n">
        <v>3</v>
      </c>
      <c r="H384" s="7" t="n">
        <v>177.17</v>
      </c>
      <c r="I384" s="5" t="inlineStr">
        <is>
          <t>USD</t>
        </is>
      </c>
      <c r="J384" s="8">
        <f>IF($I384="AUD",Assumptions!$B$2,Assumptions!$B$3)</f>
        <v/>
      </c>
      <c r="K384" s="9">
        <f>$G384*$H384*$J384</f>
        <v/>
      </c>
      <c r="L384" s="9">
        <f>$K384*Assumptions!$B$4</f>
        <v/>
      </c>
      <c r="M384" s="9">
        <f>RawTx[[#This Row],[Value USD]]/RawTx[[#This Row],[Quantity]]</f>
        <v/>
      </c>
      <c r="N384" s="9">
        <f>RawTx[[#This Row],[Value IDR]]/RawTx[[#This Row],[Quantity]]</f>
        <v/>
      </c>
      <c r="O384" s="4" t="inlineStr">
        <is>
          <t>VALVE ASSY:973-011-000-0;GOUGH</t>
        </is>
      </c>
      <c r="P384" s="5" t="inlineStr">
        <is>
          <t>NA</t>
        </is>
      </c>
      <c r="Q384" s="13" t="inlineStr">
        <is>
          <t>NA</t>
        </is>
      </c>
      <c r="R384" s="7" t="n">
        <v>2.43</v>
      </c>
      <c r="S384" s="7">
        <f>IFERROR($R384/$G384,"")</f>
        <v/>
      </c>
      <c r="T384" s="7" t="inlineStr">
        <is>
          <t>NA</t>
        </is>
      </c>
      <c r="U384" s="7" t="inlineStr">
        <is>
          <t>NA</t>
        </is>
      </c>
      <c r="V384" s="7" t="inlineStr">
        <is>
          <t>NA</t>
        </is>
      </c>
      <c r="W384" s="9">
        <f>IF(ISNUMBER($T384),$T384*$J384*Assumptions!$B$4,"NA")</f>
        <v/>
      </c>
      <c r="X384" s="9">
        <f>IF(ISNUMBER($U384),$U384*$J384*Assumptions!$B$4,"NA")</f>
        <v/>
      </c>
      <c r="Y384" s="9">
        <f>IF(ISNUMBER($V384),$V384*$J384*Assumptions!$B$4,"NA")</f>
        <v/>
      </c>
    </row>
    <row r="385">
      <c r="A385" s="5" t="inlineStr">
        <is>
          <t>SSB Parts</t>
        </is>
      </c>
      <c r="B385" s="5" t="inlineStr">
        <is>
          <t>Brake and suspension</t>
        </is>
      </c>
      <c r="C385" s="5" t="inlineStr">
        <is>
          <t>MSM Group LLC</t>
        </is>
      </c>
      <c r="D385" s="5" t="inlineStr">
        <is>
          <t>Trader/Distributor</t>
        </is>
      </c>
      <c r="E385" s="5" t="inlineStr">
        <is>
          <t>Mongolia</t>
        </is>
      </c>
      <c r="F385" s="5" t="n">
        <v>2025</v>
      </c>
      <c r="G385" s="5" t="n">
        <v>1</v>
      </c>
      <c r="H385" s="7" t="n">
        <v>11.81</v>
      </c>
      <c r="I385" s="5" t="inlineStr">
        <is>
          <t>USD</t>
        </is>
      </c>
      <c r="J385" s="8">
        <f>IF($I385="AUD",Assumptions!$B$2,Assumptions!$B$3)</f>
        <v/>
      </c>
      <c r="K385" s="9">
        <f>$G385*$H385*$J385</f>
        <v/>
      </c>
      <c r="L385" s="9">
        <f>$K385*Assumptions!$B$4</f>
        <v/>
      </c>
      <c r="M385" s="9">
        <f>RawTx[[#This Row],[Value USD]]/RawTx[[#This Row],[Quantity]]</f>
        <v/>
      </c>
      <c r="N385" s="9">
        <f>RawTx[[#This Row],[Value IDR]]/RawTx[[#This Row],[Quantity]]</f>
        <v/>
      </c>
      <c r="O385" s="4" t="inlineStr">
        <is>
          <t>SPRING BRAKE:BPW;05.397.58.03.0</t>
        </is>
      </c>
      <c r="P385" s="5" t="inlineStr">
        <is>
          <t>NA</t>
        </is>
      </c>
      <c r="Q385" s="13" t="inlineStr">
        <is>
          <t>NA</t>
        </is>
      </c>
      <c r="R385" s="7" t="n">
        <v>0.43</v>
      </c>
      <c r="S385" s="7">
        <f>IFERROR($R385/$G385,"")</f>
        <v/>
      </c>
      <c r="T385" s="7" t="inlineStr">
        <is>
          <t>NA</t>
        </is>
      </c>
      <c r="U385" s="7" t="inlineStr">
        <is>
          <t>NA</t>
        </is>
      </c>
      <c r="V385" s="7" t="inlineStr">
        <is>
          <t>NA</t>
        </is>
      </c>
      <c r="W385" s="9">
        <f>IF(ISNUMBER($T385),$T385*$J385*Assumptions!$B$4,"NA")</f>
        <v/>
      </c>
      <c r="X385" s="9">
        <f>IF(ISNUMBER($U385),$U385*$J385*Assumptions!$B$4,"NA")</f>
        <v/>
      </c>
      <c r="Y385" s="9">
        <f>IF(ISNUMBER($V385),$V385*$J385*Assumptions!$B$4,"NA")</f>
        <v/>
      </c>
    </row>
    <row r="386">
      <c r="A386" s="5" t="inlineStr">
        <is>
          <t>SSB Parts</t>
        </is>
      </c>
      <c r="B386" s="5" t="inlineStr">
        <is>
          <t>Brake and suspension</t>
        </is>
      </c>
      <c r="C386" s="5" t="inlineStr">
        <is>
          <t>MSM Group LLC</t>
        </is>
      </c>
      <c r="D386" s="5" t="inlineStr">
        <is>
          <t>Trader/Distributor</t>
        </is>
      </c>
      <c r="E386" s="5" t="inlineStr">
        <is>
          <t>Mongolia</t>
        </is>
      </c>
      <c r="F386" s="5" t="n">
        <v>2025</v>
      </c>
      <c r="G386" s="5" t="n">
        <v>5</v>
      </c>
      <c r="H386" s="7" t="n">
        <v>11.81</v>
      </c>
      <c r="I386" s="5" t="inlineStr">
        <is>
          <t>USD</t>
        </is>
      </c>
      <c r="J386" s="8">
        <f>IF($I386="AUD",Assumptions!$B$2,Assumptions!$B$3)</f>
        <v/>
      </c>
      <c r="K386" s="9">
        <f>$G386*$H386*$J386</f>
        <v/>
      </c>
      <c r="L386" s="9">
        <f>$K386*Assumptions!$B$4</f>
        <v/>
      </c>
      <c r="M386" s="9">
        <f>RawTx[[#This Row],[Value USD]]/RawTx[[#This Row],[Quantity]]</f>
        <v/>
      </c>
      <c r="N386" s="9">
        <f>RawTx[[#This Row],[Value IDR]]/RawTx[[#This Row],[Quantity]]</f>
        <v/>
      </c>
      <c r="O386" s="4" t="inlineStr">
        <is>
          <t>SPRING BRAKE:BPW;05.397.58.03.0</t>
        </is>
      </c>
      <c r="P386" s="5" t="inlineStr">
        <is>
          <t>NA</t>
        </is>
      </c>
      <c r="Q386" s="13" t="inlineStr">
        <is>
          <t>NA</t>
        </is>
      </c>
      <c r="R386" s="7" t="n">
        <v>2.5</v>
      </c>
      <c r="S386" s="7">
        <f>IFERROR($R386/$G386,"")</f>
        <v/>
      </c>
      <c r="T386" s="7" t="inlineStr">
        <is>
          <t>NA</t>
        </is>
      </c>
      <c r="U386" s="7" t="inlineStr">
        <is>
          <t>NA</t>
        </is>
      </c>
      <c r="V386" s="7" t="inlineStr">
        <is>
          <t>NA</t>
        </is>
      </c>
      <c r="W386" s="9">
        <f>IF(ISNUMBER($T386),$T386*$J386*Assumptions!$B$4,"NA")</f>
        <v/>
      </c>
      <c r="X386" s="9">
        <f>IF(ISNUMBER($U386),$U386*$J386*Assumptions!$B$4,"NA")</f>
        <v/>
      </c>
      <c r="Y386" s="9">
        <f>IF(ISNUMBER($V386),$V386*$J386*Assumptions!$B$4,"NA")</f>
        <v/>
      </c>
    </row>
    <row r="387">
      <c r="A387" s="5" t="inlineStr">
        <is>
          <t>SSB Parts</t>
        </is>
      </c>
      <c r="B387" s="5" t="inlineStr">
        <is>
          <t>Brake and suspension</t>
        </is>
      </c>
      <c r="C387" s="5" t="inlineStr">
        <is>
          <t>MSM Group LLC</t>
        </is>
      </c>
      <c r="D387" s="5" t="inlineStr">
        <is>
          <t>Trader/Distributor</t>
        </is>
      </c>
      <c r="E387" s="5" t="inlineStr">
        <is>
          <t>Mongolia</t>
        </is>
      </c>
      <c r="F387" s="5" t="n">
        <v>2025</v>
      </c>
      <c r="G387" s="5" t="n">
        <v>2</v>
      </c>
      <c r="H387" s="7" t="n">
        <v>179.2</v>
      </c>
      <c r="I387" s="5" t="inlineStr">
        <is>
          <t>USD</t>
        </is>
      </c>
      <c r="J387" s="8">
        <f>IF($I387="AUD",Assumptions!$B$2,Assumptions!$B$3)</f>
        <v/>
      </c>
      <c r="K387" s="9">
        <f>$G387*$H387*$J387</f>
        <v/>
      </c>
      <c r="L387" s="9">
        <f>$K387*Assumptions!$B$4</f>
        <v/>
      </c>
      <c r="M387" s="9">
        <f>RawTx[[#This Row],[Value USD]]/RawTx[[#This Row],[Quantity]]</f>
        <v/>
      </c>
      <c r="N387" s="9">
        <f>RawTx[[#This Row],[Value IDR]]/RawTx[[#This Row],[Quantity]]</f>
        <v/>
      </c>
      <c r="O387" s="4" t="inlineStr">
        <is>
          <t>DIAPHRAGM,BRAKE:BF4A-SEMIDRUM101OR;GOUGH</t>
        </is>
      </c>
      <c r="P387" s="5" t="inlineStr">
        <is>
          <t>NA</t>
        </is>
      </c>
      <c r="Q387" s="13" t="inlineStr">
        <is>
          <t>NA</t>
        </is>
      </c>
      <c r="R387" s="7" t="n">
        <v>2</v>
      </c>
      <c r="S387" s="7">
        <f>IFERROR($R387/$G387,"")</f>
        <v/>
      </c>
      <c r="T387" s="7" t="inlineStr">
        <is>
          <t>NA</t>
        </is>
      </c>
      <c r="U387" s="7" t="inlineStr">
        <is>
          <t>NA</t>
        </is>
      </c>
      <c r="V387" s="7" t="inlineStr">
        <is>
          <t>NA</t>
        </is>
      </c>
      <c r="W387" s="9">
        <f>IF(ISNUMBER($T387),$T387*$J387*Assumptions!$B$4,"NA")</f>
        <v/>
      </c>
      <c r="X387" s="9">
        <f>IF(ISNUMBER($U387),$U387*$J387*Assumptions!$B$4,"NA")</f>
        <v/>
      </c>
      <c r="Y387" s="9">
        <f>IF(ISNUMBER($V387),$V387*$J387*Assumptions!$B$4,"NA")</f>
        <v/>
      </c>
    </row>
    <row r="388">
      <c r="A388" s="5" t="inlineStr">
        <is>
          <t>SSB Parts</t>
        </is>
      </c>
      <c r="B388" s="5" t="inlineStr">
        <is>
          <t>Brake and suspension</t>
        </is>
      </c>
      <c r="C388" s="5" t="inlineStr">
        <is>
          <t>MSM Group LLC</t>
        </is>
      </c>
      <c r="D388" s="5" t="inlineStr">
        <is>
          <t>Trader/Distributor</t>
        </is>
      </c>
      <c r="E388" s="5" t="inlineStr">
        <is>
          <t>Mongolia</t>
        </is>
      </c>
      <c r="F388" s="5" t="n">
        <v>2025</v>
      </c>
      <c r="G388" s="5" t="n">
        <v>3</v>
      </c>
      <c r="H388" s="7" t="n">
        <v>209.35</v>
      </c>
      <c r="I388" s="5" t="inlineStr">
        <is>
          <t>USD</t>
        </is>
      </c>
      <c r="J388" s="8">
        <f>IF($I388="AUD",Assumptions!$B$2,Assumptions!$B$3)</f>
        <v/>
      </c>
      <c r="K388" s="9">
        <f>$G388*$H388*$J388</f>
        <v/>
      </c>
      <c r="L388" s="9">
        <f>$K388*Assumptions!$B$4</f>
        <v/>
      </c>
      <c r="M388" s="9">
        <f>RawTx[[#This Row],[Value USD]]/RawTx[[#This Row],[Quantity]]</f>
        <v/>
      </c>
      <c r="N388" s="9">
        <f>RawTx[[#This Row],[Value IDR]]/RawTx[[#This Row],[Quantity]]</f>
        <v/>
      </c>
      <c r="O388" s="4" t="inlineStr">
        <is>
          <t>PAD:05.189.14.52.0;BPW</t>
        </is>
      </c>
      <c r="P388" s="5" t="inlineStr">
        <is>
          <t>NA</t>
        </is>
      </c>
      <c r="Q388" s="13" t="inlineStr">
        <is>
          <t>NA</t>
        </is>
      </c>
      <c r="R388" s="7" t="n">
        <v>22.91</v>
      </c>
      <c r="S388" s="7">
        <f>IFERROR($R388/$G388,"")</f>
        <v/>
      </c>
      <c r="T388" s="7" t="inlineStr">
        <is>
          <t>NA</t>
        </is>
      </c>
      <c r="U388" s="7" t="inlineStr">
        <is>
          <t>NA</t>
        </is>
      </c>
      <c r="V388" s="7" t="inlineStr">
        <is>
          <t>NA</t>
        </is>
      </c>
      <c r="W388" s="9">
        <f>IF(ISNUMBER($T388),$T388*$J388*Assumptions!$B$4,"NA")</f>
        <v/>
      </c>
      <c r="X388" s="9">
        <f>IF(ISNUMBER($U388),$U388*$J388*Assumptions!$B$4,"NA")</f>
        <v/>
      </c>
      <c r="Y388" s="9">
        <f>IF(ISNUMBER($V388),$V388*$J388*Assumptions!$B$4,"NA")</f>
        <v/>
      </c>
    </row>
    <row r="389">
      <c r="A389" s="5" t="inlineStr">
        <is>
          <t>SSB Parts</t>
        </is>
      </c>
      <c r="B389" s="5" t="inlineStr">
        <is>
          <t>Brake and suspension</t>
        </is>
      </c>
      <c r="C389" s="5" t="inlineStr">
        <is>
          <t>MSM Group LLC</t>
        </is>
      </c>
      <c r="D389" s="5" t="inlineStr">
        <is>
          <t>Trader/Distributor</t>
        </is>
      </c>
      <c r="E389" s="5" t="inlineStr">
        <is>
          <t>Mongolia</t>
        </is>
      </c>
      <c r="F389" s="5" t="n">
        <v>2025</v>
      </c>
      <c r="G389" s="5" t="n">
        <v>6</v>
      </c>
      <c r="H389" s="7" t="n">
        <v>4.87</v>
      </c>
      <c r="I389" s="5" t="inlineStr">
        <is>
          <t>USD</t>
        </is>
      </c>
      <c r="J389" s="8">
        <f>IF($I389="AUD",Assumptions!$B$2,Assumptions!$B$3)</f>
        <v/>
      </c>
      <c r="K389" s="9">
        <f>$G389*$H389*$J389</f>
        <v/>
      </c>
      <c r="L389" s="9">
        <f>$K389*Assumptions!$B$4</f>
        <v/>
      </c>
      <c r="M389" s="9">
        <f>RawTx[[#This Row],[Value USD]]/RawTx[[#This Row],[Quantity]]</f>
        <v/>
      </c>
      <c r="N389" s="9">
        <f>RawTx[[#This Row],[Value IDR]]/RawTx[[#This Row],[Quantity]]</f>
        <v/>
      </c>
      <c r="O389" s="4" t="inlineStr">
        <is>
          <t>GASKET:CONN 4WAY SEAL OT</t>
        </is>
      </c>
      <c r="P389" s="5" t="inlineStr">
        <is>
          <t>NA</t>
        </is>
      </c>
      <c r="Q389" s="13" t="inlineStr">
        <is>
          <t>NA</t>
        </is>
      </c>
      <c r="R389" s="7" t="n">
        <v>1</v>
      </c>
      <c r="S389" s="7">
        <f>IFERROR($R389/$G389,"")</f>
        <v/>
      </c>
      <c r="T389" s="7" t="inlineStr">
        <is>
          <t>NA</t>
        </is>
      </c>
      <c r="U389" s="7" t="inlineStr">
        <is>
          <t>NA</t>
        </is>
      </c>
      <c r="V389" s="7" t="inlineStr">
        <is>
          <t>NA</t>
        </is>
      </c>
      <c r="W389" s="9">
        <f>IF(ISNUMBER($T389),$T389*$J389*Assumptions!$B$4,"NA")</f>
        <v/>
      </c>
      <c r="X389" s="9">
        <f>IF(ISNUMBER($U389),$U389*$J389*Assumptions!$B$4,"NA")</f>
        <v/>
      </c>
      <c r="Y389" s="9">
        <f>IF(ISNUMBER($V389),$V389*$J389*Assumptions!$B$4,"NA")</f>
        <v/>
      </c>
    </row>
    <row r="390">
      <c r="A390" s="5" t="inlineStr">
        <is>
          <t>SSB Parts</t>
        </is>
      </c>
      <c r="B390" s="5" t="inlineStr">
        <is>
          <t>Hydraulics</t>
        </is>
      </c>
      <c r="C390" s="5" t="inlineStr">
        <is>
          <t>MSM Group LLC</t>
        </is>
      </c>
      <c r="D390" s="5" t="inlineStr">
        <is>
          <t>Trader/Distributor</t>
        </is>
      </c>
      <c r="E390" s="5" t="inlineStr">
        <is>
          <t>Mongolia</t>
        </is>
      </c>
      <c r="F390" s="5" t="n">
        <v>2025</v>
      </c>
      <c r="G390" s="5" t="n">
        <v>1</v>
      </c>
      <c r="H390" s="7" t="n">
        <v>4678.36</v>
      </c>
      <c r="I390" s="5" t="inlineStr">
        <is>
          <t>USD</t>
        </is>
      </c>
      <c r="J390" s="8">
        <f>IF($I390="AUD",Assumptions!$B$2,Assumptions!$B$3)</f>
        <v/>
      </c>
      <c r="K390" s="9">
        <f>$G390*$H390*$J390</f>
        <v/>
      </c>
      <c r="L390" s="9">
        <f>$K390*Assumptions!$B$4</f>
        <v/>
      </c>
      <c r="M390" s="9">
        <f>RawTx[[#This Row],[Value USD]]/RawTx[[#This Row],[Quantity]]</f>
        <v/>
      </c>
      <c r="N390" s="9">
        <f>RawTx[[#This Row],[Value IDR]]/RawTx[[#This Row],[Quantity]]</f>
        <v/>
      </c>
      <c r="O390" s="4" t="inlineStr">
        <is>
          <t>DRAWBAR,TRAILER:SBA000033020</t>
        </is>
      </c>
      <c r="P390" s="5" t="inlineStr">
        <is>
          <t>NA</t>
        </is>
      </c>
      <c r="Q390" s="13" t="inlineStr">
        <is>
          <t>NA</t>
        </is>
      </c>
      <c r="R390" s="7" t="n">
        <v>205</v>
      </c>
      <c r="S390" s="7">
        <f>IFERROR($R390/$G390,"")</f>
        <v/>
      </c>
      <c r="T390" s="7" t="inlineStr">
        <is>
          <t>NA</t>
        </is>
      </c>
      <c r="U390" s="7" t="inlineStr">
        <is>
          <t>NA</t>
        </is>
      </c>
      <c r="V390" s="7" t="inlineStr">
        <is>
          <t>NA</t>
        </is>
      </c>
      <c r="W390" s="9">
        <f>IF(ISNUMBER($T390),$T390*$J390*Assumptions!$B$4,"NA")</f>
        <v/>
      </c>
      <c r="X390" s="9">
        <f>IF(ISNUMBER($U390),$U390*$J390*Assumptions!$B$4,"NA")</f>
        <v/>
      </c>
      <c r="Y390" s="9">
        <f>IF(ISNUMBER($V390),$V390*$J390*Assumptions!$B$4,"NA")</f>
        <v/>
      </c>
    </row>
    <row r="391">
      <c r="A391" s="5" t="inlineStr">
        <is>
          <t>SSB Parts</t>
        </is>
      </c>
      <c r="B391" s="5" t="inlineStr">
        <is>
          <t>Hydraulics</t>
        </is>
      </c>
      <c r="C391" s="5" t="inlineStr">
        <is>
          <t>MSM Group LLC</t>
        </is>
      </c>
      <c r="D391" s="5" t="inlineStr">
        <is>
          <t>Trader/Distributor</t>
        </is>
      </c>
      <c r="E391" s="5" t="inlineStr">
        <is>
          <t>Mongolia</t>
        </is>
      </c>
      <c r="F391" s="5" t="n">
        <v>2025</v>
      </c>
      <c r="G391" s="5" t="n">
        <v>2</v>
      </c>
      <c r="H391" s="7" t="n">
        <v>251.71</v>
      </c>
      <c r="I391" s="5" t="inlineStr">
        <is>
          <t>USD</t>
        </is>
      </c>
      <c r="J391" s="8">
        <f>IF($I391="AUD",Assumptions!$B$2,Assumptions!$B$3)</f>
        <v/>
      </c>
      <c r="K391" s="9">
        <f>$G391*$H391*$J391</f>
        <v/>
      </c>
      <c r="L391" s="9">
        <f>$K391*Assumptions!$B$4</f>
        <v/>
      </c>
      <c r="M391" s="9">
        <f>RawTx[[#This Row],[Value USD]]/RawTx[[#This Row],[Quantity]]</f>
        <v/>
      </c>
      <c r="N391" s="9">
        <f>RawTx[[#This Row],[Value IDR]]/RawTx[[#This Row],[Quantity]]</f>
        <v/>
      </c>
      <c r="O391" s="4" t="inlineStr">
        <is>
          <t>TANK,PRESS:C51902;GOUGH</t>
        </is>
      </c>
      <c r="P391" s="5" t="inlineStr">
        <is>
          <t>NA</t>
        </is>
      </c>
      <c r="Q391" s="13" t="inlineStr">
        <is>
          <t>NA</t>
        </is>
      </c>
      <c r="R391" s="7" t="n">
        <v>25</v>
      </c>
      <c r="S391" s="7">
        <f>IFERROR($R391/$G391,"")</f>
        <v/>
      </c>
      <c r="T391" s="7" t="inlineStr">
        <is>
          <t>NA</t>
        </is>
      </c>
      <c r="U391" s="7" t="inlineStr">
        <is>
          <t>NA</t>
        </is>
      </c>
      <c r="V391" s="7" t="inlineStr">
        <is>
          <t>NA</t>
        </is>
      </c>
      <c r="W391" s="9">
        <f>IF(ISNUMBER($T391),$T391*$J391*Assumptions!$B$4,"NA")</f>
        <v/>
      </c>
      <c r="X391" s="9">
        <f>IF(ISNUMBER($U391),$U391*$J391*Assumptions!$B$4,"NA")</f>
        <v/>
      </c>
      <c r="Y391" s="9">
        <f>IF(ISNUMBER($V391),$V391*$J391*Assumptions!$B$4,"NA")</f>
        <v/>
      </c>
    </row>
    <row r="392">
      <c r="A392" s="5" t="inlineStr">
        <is>
          <t>SSB Parts</t>
        </is>
      </c>
      <c r="B392" s="5" t="inlineStr">
        <is>
          <t>Hydraulics</t>
        </is>
      </c>
      <c r="C392" s="5" t="inlineStr">
        <is>
          <t>MSM Group LLC</t>
        </is>
      </c>
      <c r="D392" s="5" t="inlineStr">
        <is>
          <t>Trader/Distributor</t>
        </is>
      </c>
      <c r="E392" s="5" t="inlineStr">
        <is>
          <t>Mongolia</t>
        </is>
      </c>
      <c r="F392" s="5" t="n">
        <v>2025</v>
      </c>
      <c r="G392" s="5" t="n">
        <v>2</v>
      </c>
      <c r="H392" s="7" t="n">
        <v>3019.71</v>
      </c>
      <c r="I392" s="5" t="inlineStr">
        <is>
          <t>USD</t>
        </is>
      </c>
      <c r="J392" s="8">
        <f>IF($I392="AUD",Assumptions!$B$2,Assumptions!$B$3)</f>
        <v/>
      </c>
      <c r="K392" s="9">
        <f>$G392*$H392*$J392</f>
        <v/>
      </c>
      <c r="L392" s="9">
        <f>$K392*Assumptions!$B$4</f>
        <v/>
      </c>
      <c r="M392" s="9">
        <f>RawTx[[#This Row],[Value USD]]/RawTx[[#This Row],[Quantity]]</f>
        <v/>
      </c>
      <c r="N392" s="9">
        <f>RawTx[[#This Row],[Value IDR]]/RawTx[[#This Row],[Quantity]]</f>
        <v/>
      </c>
      <c r="O392" s="4" t="inlineStr">
        <is>
          <t>PUMP,LUBE:ALS.;P203;350BAR;8L</t>
        </is>
      </c>
      <c r="P392" s="5" t="inlineStr">
        <is>
          <t>NA</t>
        </is>
      </c>
      <c r="Q392" s="13" t="inlineStr">
        <is>
          <t>NA</t>
        </is>
      </c>
      <c r="R392" s="7" t="n">
        <v>34</v>
      </c>
      <c r="S392" s="7">
        <f>IFERROR($R392/$G392,"")</f>
        <v/>
      </c>
      <c r="T392" s="7" t="inlineStr">
        <is>
          <t>NA</t>
        </is>
      </c>
      <c r="U392" s="7" t="inlineStr">
        <is>
          <t>NA</t>
        </is>
      </c>
      <c r="V392" s="7" t="inlineStr">
        <is>
          <t>NA</t>
        </is>
      </c>
      <c r="W392" s="9">
        <f>IF(ISNUMBER($T392),$T392*$J392*Assumptions!$B$4,"NA")</f>
        <v/>
      </c>
      <c r="X392" s="9">
        <f>IF(ISNUMBER($U392),$U392*$J392*Assumptions!$B$4,"NA")</f>
        <v/>
      </c>
      <c r="Y392" s="9">
        <f>IF(ISNUMBER($V392),$V392*$J392*Assumptions!$B$4,"NA")</f>
        <v/>
      </c>
    </row>
    <row r="393">
      <c r="A393" s="5" t="inlineStr">
        <is>
          <t>SSB Parts</t>
        </is>
      </c>
      <c r="B393" s="5" t="inlineStr">
        <is>
          <t>Hydraulics</t>
        </is>
      </c>
      <c r="C393" s="5" t="inlineStr">
        <is>
          <t>MSM Group LLC</t>
        </is>
      </c>
      <c r="D393" s="5" t="inlineStr">
        <is>
          <t>Trader/Distributor</t>
        </is>
      </c>
      <c r="E393" s="5" t="inlineStr">
        <is>
          <t>Mongolia</t>
        </is>
      </c>
      <c r="F393" s="5" t="n">
        <v>2025</v>
      </c>
      <c r="G393" s="5" t="n">
        <v>2</v>
      </c>
      <c r="H393" s="7" t="n">
        <v>40.73</v>
      </c>
      <c r="I393" s="5" t="inlineStr">
        <is>
          <t>USD</t>
        </is>
      </c>
      <c r="J393" s="8">
        <f>IF($I393="AUD",Assumptions!$B$2,Assumptions!$B$3)</f>
        <v/>
      </c>
      <c r="K393" s="9">
        <f>$G393*$H393*$J393</f>
        <v/>
      </c>
      <c r="L393" s="9">
        <f>$K393*Assumptions!$B$4</f>
        <v/>
      </c>
      <c r="M393" s="9">
        <f>RawTx[[#This Row],[Value USD]]/RawTx[[#This Row],[Quantity]]</f>
        <v/>
      </c>
      <c r="N393" s="9">
        <f>RawTx[[#This Row],[Value IDR]]/RawTx[[#This Row],[Quantity]]</f>
        <v/>
      </c>
      <c r="O393" s="4" t="inlineStr">
        <is>
          <t>ELBOW,PIPE-TUBE:C52004;GOUGH</t>
        </is>
      </c>
      <c r="P393" s="5" t="inlineStr">
        <is>
          <t>NA</t>
        </is>
      </c>
      <c r="Q393" s="13" t="inlineStr">
        <is>
          <t>NA</t>
        </is>
      </c>
      <c r="R393" s="7" t="n">
        <v>1.38</v>
      </c>
      <c r="S393" s="7">
        <f>IFERROR($R393/$G393,"")</f>
        <v/>
      </c>
      <c r="T393" s="7" t="inlineStr">
        <is>
          <t>NA</t>
        </is>
      </c>
      <c r="U393" s="7" t="inlineStr">
        <is>
          <t>NA</t>
        </is>
      </c>
      <c r="V393" s="7" t="inlineStr">
        <is>
          <t>NA</t>
        </is>
      </c>
      <c r="W393" s="9">
        <f>IF(ISNUMBER($T393),$T393*$J393*Assumptions!$B$4,"NA")</f>
        <v/>
      </c>
      <c r="X393" s="9">
        <f>IF(ISNUMBER($U393),$U393*$J393*Assumptions!$B$4,"NA")</f>
        <v/>
      </c>
      <c r="Y393" s="9">
        <f>IF(ISNUMBER($V393),$V393*$J393*Assumptions!$B$4,"NA")</f>
        <v/>
      </c>
    </row>
    <row r="394">
      <c r="A394" s="5" t="inlineStr">
        <is>
          <t>SSB Parts</t>
        </is>
      </c>
      <c r="B394" s="5" t="inlineStr">
        <is>
          <t>Hydraulics</t>
        </is>
      </c>
      <c r="C394" s="5" t="inlineStr">
        <is>
          <t>MSM Group LLC</t>
        </is>
      </c>
      <c r="D394" s="5" t="inlineStr">
        <is>
          <t>Trader/Distributor</t>
        </is>
      </c>
      <c r="E394" s="5" t="inlineStr">
        <is>
          <t>Mongolia</t>
        </is>
      </c>
      <c r="F394" s="5" t="n">
        <v>2025</v>
      </c>
      <c r="G394" s="5" t="n">
        <v>2</v>
      </c>
      <c r="H394" s="7" t="n">
        <v>40.73</v>
      </c>
      <c r="I394" s="5" t="inlineStr">
        <is>
          <t>USD</t>
        </is>
      </c>
      <c r="J394" s="8">
        <f>IF($I394="AUD",Assumptions!$B$2,Assumptions!$B$3)</f>
        <v/>
      </c>
      <c r="K394" s="9">
        <f>$G394*$H394*$J394</f>
        <v/>
      </c>
      <c r="L394" s="9">
        <f>$K394*Assumptions!$B$4</f>
        <v/>
      </c>
      <c r="M394" s="9">
        <f>RawTx[[#This Row],[Value USD]]/RawTx[[#This Row],[Quantity]]</f>
        <v/>
      </c>
      <c r="N394" s="9">
        <f>RawTx[[#This Row],[Value IDR]]/RawTx[[#This Row],[Quantity]]</f>
        <v/>
      </c>
      <c r="O394" s="4" t="inlineStr">
        <is>
          <t>ELBOW,PIPE-TUBE:C52005;GOUGH</t>
        </is>
      </c>
      <c r="P394" s="5" t="inlineStr">
        <is>
          <t>NA</t>
        </is>
      </c>
      <c r="Q394" s="13" t="inlineStr">
        <is>
          <t>NA</t>
        </is>
      </c>
      <c r="R394" s="7" t="n">
        <v>1.38</v>
      </c>
      <c r="S394" s="7">
        <f>IFERROR($R394/$G394,"")</f>
        <v/>
      </c>
      <c r="T394" s="7" t="inlineStr">
        <is>
          <t>NA</t>
        </is>
      </c>
      <c r="U394" s="7" t="inlineStr">
        <is>
          <t>NA</t>
        </is>
      </c>
      <c r="V394" s="7" t="inlineStr">
        <is>
          <t>NA</t>
        </is>
      </c>
      <c r="W394" s="9">
        <f>IF(ISNUMBER($T394),$T394*$J394*Assumptions!$B$4,"NA")</f>
        <v/>
      </c>
      <c r="X394" s="9">
        <f>IF(ISNUMBER($U394),$U394*$J394*Assumptions!$B$4,"NA")</f>
        <v/>
      </c>
      <c r="Y394" s="9">
        <f>IF(ISNUMBER($V394),$V394*$J394*Assumptions!$B$4,"NA")</f>
        <v/>
      </c>
    </row>
    <row r="395">
      <c r="A395" s="5" t="inlineStr">
        <is>
          <t>SSB Parts</t>
        </is>
      </c>
      <c r="B395" s="5" t="inlineStr">
        <is>
          <t>Hydraulics</t>
        </is>
      </c>
      <c r="C395" s="5" t="inlineStr">
        <is>
          <t>MSM Group LLC</t>
        </is>
      </c>
      <c r="D395" s="5" t="inlineStr">
        <is>
          <t>Trader/Distributor</t>
        </is>
      </c>
      <c r="E395" s="5" t="inlineStr">
        <is>
          <t>Mongolia</t>
        </is>
      </c>
      <c r="F395" s="5" t="n">
        <v>2025</v>
      </c>
      <c r="G395" s="5" t="n">
        <v>2</v>
      </c>
      <c r="H395" s="7" t="n">
        <v>11.61</v>
      </c>
      <c r="I395" s="5" t="inlineStr">
        <is>
          <t>USD</t>
        </is>
      </c>
      <c r="J395" s="8">
        <f>IF($I395="AUD",Assumptions!$B$2,Assumptions!$B$3)</f>
        <v/>
      </c>
      <c r="K395" s="9">
        <f>$G395*$H395*$J395</f>
        <v/>
      </c>
      <c r="L395" s="9">
        <f>$K395*Assumptions!$B$4</f>
        <v/>
      </c>
      <c r="M395" s="9">
        <f>RawTx[[#This Row],[Value USD]]/RawTx[[#This Row],[Quantity]]</f>
        <v/>
      </c>
      <c r="N395" s="9">
        <f>RawTx[[#This Row],[Value IDR]]/RawTx[[#This Row],[Quantity]]</f>
        <v/>
      </c>
      <c r="O395" s="4" t="inlineStr">
        <is>
          <t>ELBOW,PIPE-TUBE:GP-579-0806;GOUGH</t>
        </is>
      </c>
      <c r="P395" s="5" t="inlineStr">
        <is>
          <t>NA</t>
        </is>
      </c>
      <c r="Q395" s="13" t="inlineStr">
        <is>
          <t>NA</t>
        </is>
      </c>
      <c r="R395" s="7" t="n">
        <v>0.39</v>
      </c>
      <c r="S395" s="7">
        <f>IFERROR($R395/$G395,"")</f>
        <v/>
      </c>
      <c r="T395" s="7" t="inlineStr">
        <is>
          <t>NA</t>
        </is>
      </c>
      <c r="U395" s="7" t="inlineStr">
        <is>
          <t>NA</t>
        </is>
      </c>
      <c r="V395" s="7" t="inlineStr">
        <is>
          <t>NA</t>
        </is>
      </c>
      <c r="W395" s="9">
        <f>IF(ISNUMBER($T395),$T395*$J395*Assumptions!$B$4,"NA")</f>
        <v/>
      </c>
      <c r="X395" s="9">
        <f>IF(ISNUMBER($U395),$U395*$J395*Assumptions!$B$4,"NA")</f>
        <v/>
      </c>
      <c r="Y395" s="9">
        <f>IF(ISNUMBER($V395),$V395*$J395*Assumptions!$B$4,"NA")</f>
        <v/>
      </c>
    </row>
    <row r="396">
      <c r="A396" s="5" t="inlineStr">
        <is>
          <t>SSB Parts</t>
        </is>
      </c>
      <c r="B396" s="5" t="inlineStr">
        <is>
          <t>Hydraulics</t>
        </is>
      </c>
      <c r="C396" s="5" t="inlineStr">
        <is>
          <t>MSM Group LLC</t>
        </is>
      </c>
      <c r="D396" s="5" t="inlineStr">
        <is>
          <t>Trader/Distributor</t>
        </is>
      </c>
      <c r="E396" s="5" t="inlineStr">
        <is>
          <t>Mongolia</t>
        </is>
      </c>
      <c r="F396" s="5" t="n">
        <v>2025</v>
      </c>
      <c r="G396" s="5" t="n">
        <v>2</v>
      </c>
      <c r="H396" s="7" t="n">
        <v>20.36</v>
      </c>
      <c r="I396" s="5" t="inlineStr">
        <is>
          <t>USD</t>
        </is>
      </c>
      <c r="J396" s="8">
        <f>IF($I396="AUD",Assumptions!$B$2,Assumptions!$B$3)</f>
        <v/>
      </c>
      <c r="K396" s="9">
        <f>$G396*$H396*$J396</f>
        <v/>
      </c>
      <c r="L396" s="9">
        <f>$K396*Assumptions!$B$4</f>
        <v/>
      </c>
      <c r="M396" s="9">
        <f>RawTx[[#This Row],[Value USD]]/RawTx[[#This Row],[Quantity]]</f>
        <v/>
      </c>
      <c r="N396" s="9">
        <f>RawTx[[#This Row],[Value IDR]]/RawTx[[#This Row],[Quantity]]</f>
        <v/>
      </c>
      <c r="O396" s="4" t="inlineStr">
        <is>
          <t>CPLG,HOSE:C51777;GOUGH</t>
        </is>
      </c>
      <c r="P396" s="5" t="inlineStr">
        <is>
          <t>NA</t>
        </is>
      </c>
      <c r="Q396" s="13" t="inlineStr">
        <is>
          <t>NA</t>
        </is>
      </c>
      <c r="R396" s="7" t="n">
        <v>0.6899999999999999</v>
      </c>
      <c r="S396" s="7">
        <f>IFERROR($R396/$G396,"")</f>
        <v/>
      </c>
      <c r="T396" s="7" t="inlineStr">
        <is>
          <t>NA</t>
        </is>
      </c>
      <c r="U396" s="7" t="inlineStr">
        <is>
          <t>NA</t>
        </is>
      </c>
      <c r="V396" s="7" t="inlineStr">
        <is>
          <t>NA</t>
        </is>
      </c>
      <c r="W396" s="9">
        <f>IF(ISNUMBER($T396),$T396*$J396*Assumptions!$B$4,"NA")</f>
        <v/>
      </c>
      <c r="X396" s="9">
        <f>IF(ISNUMBER($U396),$U396*$J396*Assumptions!$B$4,"NA")</f>
        <v/>
      </c>
      <c r="Y396" s="9">
        <f>IF(ISNUMBER($V396),$V396*$J396*Assumptions!$B$4,"NA")</f>
        <v/>
      </c>
    </row>
    <row r="397">
      <c r="A397" s="5" t="inlineStr">
        <is>
          <t>SSB Parts</t>
        </is>
      </c>
      <c r="B397" s="5" t="inlineStr">
        <is>
          <t>Hydraulics</t>
        </is>
      </c>
      <c r="C397" s="5" t="inlineStr">
        <is>
          <t>MSM Group LLC</t>
        </is>
      </c>
      <c r="D397" s="5" t="inlineStr">
        <is>
          <t>Trader/Distributor</t>
        </is>
      </c>
      <c r="E397" s="5" t="inlineStr">
        <is>
          <t>Mongolia</t>
        </is>
      </c>
      <c r="F397" s="5" t="n">
        <v>2025</v>
      </c>
      <c r="G397" s="5" t="n">
        <v>2</v>
      </c>
      <c r="H397" s="7" t="n">
        <v>4.48</v>
      </c>
      <c r="I397" s="5" t="inlineStr">
        <is>
          <t>USD</t>
        </is>
      </c>
      <c r="J397" s="8">
        <f>IF($I397="AUD",Assumptions!$B$2,Assumptions!$B$3)</f>
        <v/>
      </c>
      <c r="K397" s="9">
        <f>$G397*$H397*$J397</f>
        <v/>
      </c>
      <c r="L397" s="9">
        <f>$K397*Assumptions!$B$4</f>
        <v/>
      </c>
      <c r="M397" s="9">
        <f>RawTx[[#This Row],[Value USD]]/RawTx[[#This Row],[Quantity]]</f>
        <v/>
      </c>
      <c r="N397" s="9">
        <f>RawTx[[#This Row],[Value IDR]]/RawTx[[#This Row],[Quantity]]</f>
        <v/>
      </c>
      <c r="O397" s="4" t="inlineStr">
        <is>
          <t>O-RING:897-780-400-4;GOUGH</t>
        </is>
      </c>
      <c r="P397" s="5" t="inlineStr">
        <is>
          <t>NA</t>
        </is>
      </c>
      <c r="Q397" s="13" t="inlineStr">
        <is>
          <t>NA</t>
        </is>
      </c>
      <c r="R397" s="7" t="n">
        <v>0.15</v>
      </c>
      <c r="S397" s="7">
        <f>IFERROR($R397/$G397,"")</f>
        <v/>
      </c>
      <c r="T397" s="7" t="inlineStr">
        <is>
          <t>NA</t>
        </is>
      </c>
      <c r="U397" s="7" t="inlineStr">
        <is>
          <t>NA</t>
        </is>
      </c>
      <c r="V397" s="7" t="inlineStr">
        <is>
          <t>NA</t>
        </is>
      </c>
      <c r="W397" s="9">
        <f>IF(ISNUMBER($T397),$T397*$J397*Assumptions!$B$4,"NA")</f>
        <v/>
      </c>
      <c r="X397" s="9">
        <f>IF(ISNUMBER($U397),$U397*$J397*Assumptions!$B$4,"NA")</f>
        <v/>
      </c>
      <c r="Y397" s="9">
        <f>IF(ISNUMBER($V397),$V397*$J397*Assumptions!$B$4,"NA")</f>
        <v/>
      </c>
    </row>
    <row r="398">
      <c r="A398" s="5" t="inlineStr">
        <is>
          <t>SSB Parts</t>
        </is>
      </c>
      <c r="B398" s="5" t="inlineStr">
        <is>
          <t>Hydraulics</t>
        </is>
      </c>
      <c r="C398" s="5" t="inlineStr">
        <is>
          <t>MSM Group LLC</t>
        </is>
      </c>
      <c r="D398" s="5" t="inlineStr">
        <is>
          <t>Trader/Distributor</t>
        </is>
      </c>
      <c r="E398" s="5" t="inlineStr">
        <is>
          <t>Mongolia</t>
        </is>
      </c>
      <c r="F398" s="5" t="n">
        <v>2025</v>
      </c>
      <c r="G398" s="5" t="n">
        <v>5</v>
      </c>
      <c r="H398" s="7" t="n">
        <v>153.13</v>
      </c>
      <c r="I398" s="5" t="inlineStr">
        <is>
          <t>USD</t>
        </is>
      </c>
      <c r="J398" s="8">
        <f>IF($I398="AUD",Assumptions!$B$2,Assumptions!$B$3)</f>
        <v/>
      </c>
      <c r="K398" s="9">
        <f>$G398*$H398*$J398</f>
        <v/>
      </c>
      <c r="L398" s="9">
        <f>$K398*Assumptions!$B$4</f>
        <v/>
      </c>
      <c r="M398" s="9">
        <f>RawTx[[#This Row],[Value USD]]/RawTx[[#This Row],[Quantity]]</f>
        <v/>
      </c>
      <c r="N398" s="9">
        <f>RawTx[[#This Row],[Value IDR]]/RawTx[[#This Row],[Quantity]]</f>
        <v/>
      </c>
      <c r="O398" s="4" t="inlineStr">
        <is>
          <t>SEALKITDOORCYLINDER</t>
        </is>
      </c>
      <c r="P398" s="5" t="inlineStr">
        <is>
          <t>NA</t>
        </is>
      </c>
      <c r="Q398" s="13" t="inlineStr">
        <is>
          <t>NA</t>
        </is>
      </c>
      <c r="R398" s="7" t="n">
        <v>1</v>
      </c>
      <c r="S398" s="7">
        <f>IFERROR($R398/$G398,"")</f>
        <v/>
      </c>
      <c r="T398" s="7" t="inlineStr">
        <is>
          <t>NA</t>
        </is>
      </c>
      <c r="U398" s="7" t="inlineStr">
        <is>
          <t>NA</t>
        </is>
      </c>
      <c r="V398" s="7" t="inlineStr">
        <is>
          <t>NA</t>
        </is>
      </c>
      <c r="W398" s="9">
        <f>IF(ISNUMBER($T398),$T398*$J398*Assumptions!$B$4,"NA")</f>
        <v/>
      </c>
      <c r="X398" s="9">
        <f>IF(ISNUMBER($U398),$U398*$J398*Assumptions!$B$4,"NA")</f>
        <v/>
      </c>
      <c r="Y398" s="9">
        <f>IF(ISNUMBER($V398),$V398*$J398*Assumptions!$B$4,"NA")</f>
        <v/>
      </c>
    </row>
    <row r="399">
      <c r="A399" s="5" t="inlineStr">
        <is>
          <t>SSB Parts</t>
        </is>
      </c>
      <c r="B399" s="5" t="inlineStr">
        <is>
          <t>Hydraulics</t>
        </is>
      </c>
      <c r="C399" s="5" t="inlineStr">
        <is>
          <t>MSM Group LLC</t>
        </is>
      </c>
      <c r="D399" s="5" t="inlineStr">
        <is>
          <t>Trader/Distributor</t>
        </is>
      </c>
      <c r="E399" s="5" t="inlineStr">
        <is>
          <t>Mongolia</t>
        </is>
      </c>
      <c r="F399" s="5" t="n">
        <v>2025</v>
      </c>
      <c r="G399" s="5" t="n">
        <v>2</v>
      </c>
      <c r="H399" s="7" t="n">
        <v>1505.25</v>
      </c>
      <c r="I399" s="5" t="inlineStr">
        <is>
          <t>USD</t>
        </is>
      </c>
      <c r="J399" s="8">
        <f>IF($I399="AUD",Assumptions!$B$2,Assumptions!$B$3)</f>
        <v/>
      </c>
      <c r="K399" s="9">
        <f>$G399*$H399*$J399</f>
        <v/>
      </c>
      <c r="L399" s="9">
        <f>$K399*Assumptions!$B$4</f>
        <v/>
      </c>
      <c r="M399" s="9">
        <f>RawTx[[#This Row],[Value USD]]/RawTx[[#This Row],[Quantity]]</f>
        <v/>
      </c>
      <c r="N399" s="9">
        <f>RawTx[[#This Row],[Value IDR]]/RawTx[[#This Row],[Quantity]]</f>
        <v/>
      </c>
      <c r="O399" s="4" t="inlineStr">
        <is>
          <t>LANDING VHC:TELESCOPIC;19IN;80T;25T</t>
        </is>
      </c>
      <c r="P399" s="5" t="inlineStr">
        <is>
          <t>NA</t>
        </is>
      </c>
      <c r="Q399" s="13" t="inlineStr">
        <is>
          <t>NA</t>
        </is>
      </c>
      <c r="R399" s="7" t="n">
        <v>180.6</v>
      </c>
      <c r="S399" s="7">
        <f>IFERROR($R399/$G399,"")</f>
        <v/>
      </c>
      <c r="T399" s="7" t="inlineStr">
        <is>
          <t>NA</t>
        </is>
      </c>
      <c r="U399" s="7" t="inlineStr">
        <is>
          <t>NA</t>
        </is>
      </c>
      <c r="V399" s="7" t="inlineStr">
        <is>
          <t>NA</t>
        </is>
      </c>
      <c r="W399" s="9">
        <f>IF(ISNUMBER($T399),$T399*$J399*Assumptions!$B$4,"NA")</f>
        <v/>
      </c>
      <c r="X399" s="9">
        <f>IF(ISNUMBER($U399),$U399*$J399*Assumptions!$B$4,"NA")</f>
        <v/>
      </c>
      <c r="Y399" s="9">
        <f>IF(ISNUMBER($V399),$V399*$J399*Assumptions!$B$4,"NA")</f>
        <v/>
      </c>
    </row>
    <row r="400">
      <c r="A400" s="5" t="inlineStr">
        <is>
          <t>SSB Parts</t>
        </is>
      </c>
      <c r="B400" s="5" t="inlineStr">
        <is>
          <t>Hydraulics</t>
        </is>
      </c>
      <c r="C400" s="5" t="inlineStr">
        <is>
          <t>MSM Group LLC</t>
        </is>
      </c>
      <c r="D400" s="5" t="inlineStr">
        <is>
          <t>Trader/Distributor</t>
        </is>
      </c>
      <c r="E400" s="5" t="inlineStr">
        <is>
          <t>Mongolia</t>
        </is>
      </c>
      <c r="F400" s="5" t="n">
        <v>2025</v>
      </c>
      <c r="G400" s="5" t="n">
        <v>100</v>
      </c>
      <c r="H400" s="7" t="n">
        <v>2.22</v>
      </c>
      <c r="I400" s="5" t="inlineStr">
        <is>
          <t>USD</t>
        </is>
      </c>
      <c r="J400" s="8">
        <f>IF($I400="AUD",Assumptions!$B$2,Assumptions!$B$3)</f>
        <v/>
      </c>
      <c r="K400" s="9">
        <f>$G400*$H400*$J400</f>
        <v/>
      </c>
      <c r="L400" s="9">
        <f>$K400*Assumptions!$B$4</f>
        <v/>
      </c>
      <c r="M400" s="9">
        <f>RawTx[[#This Row],[Value USD]]/RawTx[[#This Row],[Quantity]]</f>
        <v/>
      </c>
      <c r="N400" s="9">
        <f>RawTx[[#This Row],[Value IDR]]/RawTx[[#This Row],[Quantity]]</f>
        <v/>
      </c>
      <c r="O400" s="4" t="inlineStr">
        <is>
          <t>TUBING:PUN;PU;1MM;6MM;BK</t>
        </is>
      </c>
      <c r="P400" s="5" t="inlineStr">
        <is>
          <t>NA</t>
        </is>
      </c>
      <c r="Q400" s="13" t="inlineStr">
        <is>
          <t>NA</t>
        </is>
      </c>
      <c r="R400" s="7" t="n">
        <v>3</v>
      </c>
      <c r="S400" s="7">
        <f>IFERROR($R400/$G400,"")</f>
        <v/>
      </c>
      <c r="T400" s="7" t="inlineStr">
        <is>
          <t>NA</t>
        </is>
      </c>
      <c r="U400" s="7" t="inlineStr">
        <is>
          <t>NA</t>
        </is>
      </c>
      <c r="V400" s="7" t="inlineStr">
        <is>
          <t>NA</t>
        </is>
      </c>
      <c r="W400" s="9">
        <f>IF(ISNUMBER($T400),$T400*$J400*Assumptions!$B$4,"NA")</f>
        <v/>
      </c>
      <c r="X400" s="9">
        <f>IF(ISNUMBER($U400),$U400*$J400*Assumptions!$B$4,"NA")</f>
        <v/>
      </c>
      <c r="Y400" s="9">
        <f>IF(ISNUMBER($V400),$V400*$J400*Assumptions!$B$4,"NA")</f>
        <v/>
      </c>
    </row>
    <row r="401">
      <c r="A401" s="5" t="inlineStr">
        <is>
          <t>SSB Parts</t>
        </is>
      </c>
      <c r="B401" s="5" t="inlineStr">
        <is>
          <t>Hydraulics</t>
        </is>
      </c>
      <c r="C401" s="5" t="inlineStr">
        <is>
          <t>MSM Group LLC</t>
        </is>
      </c>
      <c r="D401" s="5" t="inlineStr">
        <is>
          <t>Trader/Distributor</t>
        </is>
      </c>
      <c r="E401" s="5" t="inlineStr">
        <is>
          <t>Mongolia</t>
        </is>
      </c>
      <c r="F401" s="5" t="n">
        <v>2025</v>
      </c>
      <c r="G401" s="5" t="n">
        <v>900</v>
      </c>
      <c r="H401" s="7" t="n">
        <v>2.22</v>
      </c>
      <c r="I401" s="5" t="inlineStr">
        <is>
          <t>USD</t>
        </is>
      </c>
      <c r="J401" s="8">
        <f>IF($I401="AUD",Assumptions!$B$2,Assumptions!$B$3)</f>
        <v/>
      </c>
      <c r="K401" s="9">
        <f>$G401*$H401*$J401</f>
        <v/>
      </c>
      <c r="L401" s="9">
        <f>$K401*Assumptions!$B$4</f>
        <v/>
      </c>
      <c r="M401" s="9">
        <f>RawTx[[#This Row],[Value USD]]/RawTx[[#This Row],[Quantity]]</f>
        <v/>
      </c>
      <c r="N401" s="9">
        <f>RawTx[[#This Row],[Value IDR]]/RawTx[[#This Row],[Quantity]]</f>
        <v/>
      </c>
      <c r="O401" s="4" t="inlineStr">
        <is>
          <t>TUBING:PUN;PU;1MM;6MM;RD</t>
        </is>
      </c>
      <c r="P401" s="5" t="inlineStr">
        <is>
          <t>NA</t>
        </is>
      </c>
      <c r="Q401" s="13" t="inlineStr">
        <is>
          <t>NA</t>
        </is>
      </c>
      <c r="R401" s="7" t="n">
        <v>36.02</v>
      </c>
      <c r="S401" s="7">
        <f>IFERROR($R401/$G401,"")</f>
        <v/>
      </c>
      <c r="T401" s="7" t="inlineStr">
        <is>
          <t>NA</t>
        </is>
      </c>
      <c r="U401" s="7" t="inlineStr">
        <is>
          <t>NA</t>
        </is>
      </c>
      <c r="V401" s="7" t="inlineStr">
        <is>
          <t>NA</t>
        </is>
      </c>
      <c r="W401" s="9">
        <f>IF(ISNUMBER($T401),$T401*$J401*Assumptions!$B$4,"NA")</f>
        <v/>
      </c>
      <c r="X401" s="9">
        <f>IF(ISNUMBER($U401),$U401*$J401*Assumptions!$B$4,"NA")</f>
        <v/>
      </c>
      <c r="Y401" s="9">
        <f>IF(ISNUMBER($V401),$V401*$J401*Assumptions!$B$4,"NA")</f>
        <v/>
      </c>
    </row>
    <row r="402">
      <c r="A402" s="5" t="inlineStr">
        <is>
          <t>SSB Parts</t>
        </is>
      </c>
      <c r="B402" s="5" t="inlineStr">
        <is>
          <t>Hydraulics</t>
        </is>
      </c>
      <c r="C402" s="5" t="inlineStr">
        <is>
          <t>MSM Group LLC</t>
        </is>
      </c>
      <c r="D402" s="5" t="inlineStr">
        <is>
          <t>Trader/Distributor</t>
        </is>
      </c>
      <c r="E402" s="5" t="inlineStr">
        <is>
          <t>Mongolia</t>
        </is>
      </c>
      <c r="F402" s="5" t="n">
        <v>2025</v>
      </c>
      <c r="G402" s="5" t="n">
        <v>156</v>
      </c>
      <c r="H402" s="7" t="n">
        <v>2.26</v>
      </c>
      <c r="I402" s="5" t="inlineStr">
        <is>
          <t>USD</t>
        </is>
      </c>
      <c r="J402" s="8">
        <f>IF($I402="AUD",Assumptions!$B$2,Assumptions!$B$3)</f>
        <v/>
      </c>
      <c r="K402" s="9">
        <f>$G402*$H402*$J402</f>
        <v/>
      </c>
      <c r="L402" s="9">
        <f>$K402*Assumptions!$B$4</f>
        <v/>
      </c>
      <c r="M402" s="9">
        <f>RawTx[[#This Row],[Value USD]]/RawTx[[#This Row],[Quantity]]</f>
        <v/>
      </c>
      <c r="N402" s="9">
        <f>RawTx[[#This Row],[Value IDR]]/RawTx[[#This Row],[Quantity]]</f>
        <v/>
      </c>
      <c r="O402" s="4" t="inlineStr">
        <is>
          <t>TUBING:PUN;PU;1MM;6MM;YL</t>
        </is>
      </c>
      <c r="P402" s="5" t="inlineStr">
        <is>
          <t>NA</t>
        </is>
      </c>
      <c r="Q402" s="13" t="inlineStr">
        <is>
          <t>NA</t>
        </is>
      </c>
      <c r="R402" s="7" t="n">
        <v>6.35</v>
      </c>
      <c r="S402" s="7">
        <f>IFERROR($R402/$G402,"")</f>
        <v/>
      </c>
      <c r="T402" s="7" t="inlineStr">
        <is>
          <t>NA</t>
        </is>
      </c>
      <c r="U402" s="7" t="inlineStr">
        <is>
          <t>NA</t>
        </is>
      </c>
      <c r="V402" s="7" t="inlineStr">
        <is>
          <t>NA</t>
        </is>
      </c>
      <c r="W402" s="9">
        <f>IF(ISNUMBER($T402),$T402*$J402*Assumptions!$B$4,"NA")</f>
        <v/>
      </c>
      <c r="X402" s="9">
        <f>IF(ISNUMBER($U402),$U402*$J402*Assumptions!$B$4,"NA")</f>
        <v/>
      </c>
      <c r="Y402" s="9">
        <f>IF(ISNUMBER($V402),$V402*$J402*Assumptions!$B$4,"NA")</f>
        <v/>
      </c>
    </row>
    <row r="403">
      <c r="A403" s="5" t="inlineStr">
        <is>
          <t>SSB Parts</t>
        </is>
      </c>
      <c r="B403" s="5" t="inlineStr">
        <is>
          <t>Hydraulics</t>
        </is>
      </c>
      <c r="C403" s="5" t="inlineStr">
        <is>
          <t>MSM Group LLC</t>
        </is>
      </c>
      <c r="D403" s="5" t="inlineStr">
        <is>
          <t>Trader/Distributor</t>
        </is>
      </c>
      <c r="E403" s="5" t="inlineStr">
        <is>
          <t>Mongolia</t>
        </is>
      </c>
      <c r="F403" s="5" t="n">
        <v>2025</v>
      </c>
      <c r="G403" s="5" t="n">
        <v>506</v>
      </c>
      <c r="H403" s="7" t="n">
        <v>2.26</v>
      </c>
      <c r="I403" s="5" t="inlineStr">
        <is>
          <t>USD</t>
        </is>
      </c>
      <c r="J403" s="8">
        <f>IF($I403="AUD",Assumptions!$B$2,Assumptions!$B$3)</f>
        <v/>
      </c>
      <c r="K403" s="9">
        <f>$G403*$H403*$J403</f>
        <v/>
      </c>
      <c r="L403" s="9">
        <f>$K403*Assumptions!$B$4</f>
        <v/>
      </c>
      <c r="M403" s="9">
        <f>RawTx[[#This Row],[Value USD]]/RawTx[[#This Row],[Quantity]]</f>
        <v/>
      </c>
      <c r="N403" s="9">
        <f>RawTx[[#This Row],[Value IDR]]/RawTx[[#This Row],[Quantity]]</f>
        <v/>
      </c>
      <c r="O403" s="4" t="inlineStr">
        <is>
          <t>TUBING:PUN;PU;1MM;6MM;BL</t>
        </is>
      </c>
      <c r="P403" s="5" t="inlineStr">
        <is>
          <t>NA</t>
        </is>
      </c>
      <c r="Q403" s="13" t="inlineStr">
        <is>
          <t>NA</t>
        </is>
      </c>
      <c r="R403" s="7" t="n">
        <v>20.61</v>
      </c>
      <c r="S403" s="7">
        <f>IFERROR($R403/$G403,"")</f>
        <v/>
      </c>
      <c r="T403" s="7" t="inlineStr">
        <is>
          <t>NA</t>
        </is>
      </c>
      <c r="U403" s="7" t="inlineStr">
        <is>
          <t>NA</t>
        </is>
      </c>
      <c r="V403" s="7" t="inlineStr">
        <is>
          <t>NA</t>
        </is>
      </c>
      <c r="W403" s="9">
        <f>IF(ISNUMBER($T403),$T403*$J403*Assumptions!$B$4,"NA")</f>
        <v/>
      </c>
      <c r="X403" s="9">
        <f>IF(ISNUMBER($U403),$U403*$J403*Assumptions!$B$4,"NA")</f>
        <v/>
      </c>
      <c r="Y403" s="9">
        <f>IF(ISNUMBER($V403),$V403*$J403*Assumptions!$B$4,"NA")</f>
        <v/>
      </c>
    </row>
    <row r="404">
      <c r="A404" s="5" t="inlineStr">
        <is>
          <t>SSB Parts</t>
        </is>
      </c>
      <c r="B404" s="5" t="inlineStr">
        <is>
          <t>Hydraulics</t>
        </is>
      </c>
      <c r="C404" s="5" t="inlineStr">
        <is>
          <t>MSM Group LLC</t>
        </is>
      </c>
      <c r="D404" s="5" t="inlineStr">
        <is>
          <t>Trader/Distributor</t>
        </is>
      </c>
      <c r="E404" s="5" t="inlineStr">
        <is>
          <t>Mongolia</t>
        </is>
      </c>
      <c r="F404" s="5" t="n">
        <v>2025</v>
      </c>
      <c r="G404" s="5" t="n">
        <v>1540</v>
      </c>
      <c r="H404" s="7" t="n">
        <v>7.27</v>
      </c>
      <c r="I404" s="5" t="inlineStr">
        <is>
          <t>USD</t>
        </is>
      </c>
      <c r="J404" s="8">
        <f>IF($I404="AUD",Assumptions!$B$2,Assumptions!$B$3)</f>
        <v/>
      </c>
      <c r="K404" s="9">
        <f>$G404*$H404*$J404</f>
        <v/>
      </c>
      <c r="L404" s="9">
        <f>$K404*Assumptions!$B$4</f>
        <v/>
      </c>
      <c r="M404" s="9">
        <f>RawTx[[#This Row],[Value USD]]/RawTx[[#This Row],[Quantity]]</f>
        <v/>
      </c>
      <c r="N404" s="9">
        <f>RawTx[[#This Row],[Value IDR]]/RawTx[[#This Row],[Quantity]]</f>
        <v/>
      </c>
      <c r="O404" s="4" t="inlineStr">
        <is>
          <t>TUBING,SPIRAL WRAP:BK;PE;RSG-20;RYCO</t>
        </is>
      </c>
      <c r="P404" s="5" t="inlineStr">
        <is>
          <t>NA</t>
        </is>
      </c>
      <c r="Q404" s="13" t="inlineStr">
        <is>
          <t>NA</t>
        </is>
      </c>
      <c r="R404" s="7" t="n">
        <v>162</v>
      </c>
      <c r="S404" s="7">
        <f>IFERROR($R404/$G404,"")</f>
        <v/>
      </c>
      <c r="T404" s="7" t="inlineStr">
        <is>
          <t>NA</t>
        </is>
      </c>
      <c r="U404" s="7" t="inlineStr">
        <is>
          <t>NA</t>
        </is>
      </c>
      <c r="V404" s="7" t="inlineStr">
        <is>
          <t>NA</t>
        </is>
      </c>
      <c r="W404" s="9">
        <f>IF(ISNUMBER($T404),$T404*$J404*Assumptions!$B$4,"NA")</f>
        <v/>
      </c>
      <c r="X404" s="9">
        <f>IF(ISNUMBER($U404),$U404*$J404*Assumptions!$B$4,"NA")</f>
        <v/>
      </c>
      <c r="Y404" s="9">
        <f>IF(ISNUMBER($V404),$V404*$J404*Assumptions!$B$4,"NA")</f>
        <v/>
      </c>
    </row>
    <row r="405">
      <c r="A405" s="5" t="inlineStr">
        <is>
          <t>SSB Parts</t>
        </is>
      </c>
      <c r="B405" s="5" t="inlineStr">
        <is>
          <t>Coupling and towing</t>
        </is>
      </c>
      <c r="C405" s="5" t="inlineStr">
        <is>
          <t>MSM Group LLC</t>
        </is>
      </c>
      <c r="D405" s="5" t="inlineStr">
        <is>
          <t>Trader/Distributor</t>
        </is>
      </c>
      <c r="E405" s="5" t="inlineStr">
        <is>
          <t>Mongolia</t>
        </is>
      </c>
      <c r="F405" s="5" t="n">
        <v>2025</v>
      </c>
      <c r="G405" s="5" t="n">
        <v>2</v>
      </c>
      <c r="H405" s="7" t="n">
        <v>7060</v>
      </c>
      <c r="I405" s="5" t="inlineStr">
        <is>
          <t>USD</t>
        </is>
      </c>
      <c r="J405" s="8">
        <f>IF($I405="AUD",Assumptions!$B$2,Assumptions!$B$3)</f>
        <v/>
      </c>
      <c r="K405" s="9">
        <f>$G405*$H405*$J405</f>
        <v/>
      </c>
      <c r="L405" s="9">
        <f>$K405*Assumptions!$B$4</f>
        <v/>
      </c>
      <c r="M405" s="9">
        <f>RawTx[[#This Row],[Value USD]]/RawTx[[#This Row],[Quantity]]</f>
        <v/>
      </c>
      <c r="N405" s="9">
        <f>RawTx[[#This Row],[Value IDR]]/RawTx[[#This Row],[Quantity]]</f>
        <v/>
      </c>
      <c r="O405" s="4" t="inlineStr">
        <is>
          <t>PINTLE,TOWING:LOCKING SYS;HD50;4EA</t>
        </is>
      </c>
      <c r="P405" s="5" t="inlineStr">
        <is>
          <t>NA</t>
        </is>
      </c>
      <c r="Q405" s="13" t="inlineStr">
        <is>
          <t>NA</t>
        </is>
      </c>
      <c r="R405" s="7" t="n">
        <v>167</v>
      </c>
      <c r="S405" s="7">
        <f>IFERROR($R405/$G405,"")</f>
        <v/>
      </c>
      <c r="T405" s="7" t="inlineStr">
        <is>
          <t>NA</t>
        </is>
      </c>
      <c r="U405" s="7" t="inlineStr">
        <is>
          <t>NA</t>
        </is>
      </c>
      <c r="V405" s="7" t="inlineStr">
        <is>
          <t>NA</t>
        </is>
      </c>
      <c r="W405" s="9">
        <f>IF(ISNUMBER($T405),$T405*$J405*Assumptions!$B$4,"NA")</f>
        <v/>
      </c>
      <c r="X405" s="9">
        <f>IF(ISNUMBER($U405),$U405*$J405*Assumptions!$B$4,"NA")</f>
        <v/>
      </c>
      <c r="Y405" s="9">
        <f>IF(ISNUMBER($V405),$V405*$J405*Assumptions!$B$4,"NA")</f>
        <v/>
      </c>
    </row>
    <row r="406">
      <c r="A406" s="5" t="inlineStr">
        <is>
          <t>SSB Parts</t>
        </is>
      </c>
      <c r="B406" s="5" t="inlineStr">
        <is>
          <t>Coupling and towing</t>
        </is>
      </c>
      <c r="C406" s="5" t="inlineStr">
        <is>
          <t>MSM Group LLC</t>
        </is>
      </c>
      <c r="D406" s="5" t="inlineStr">
        <is>
          <t>Trader/Distributor</t>
        </is>
      </c>
      <c r="E406" s="5" t="inlineStr">
        <is>
          <t>Mongolia</t>
        </is>
      </c>
      <c r="F406" s="5" t="n">
        <v>2025</v>
      </c>
      <c r="G406" s="5" t="n">
        <v>2</v>
      </c>
      <c r="H406" s="7" t="n">
        <v>305.47</v>
      </c>
      <c r="I406" s="5" t="inlineStr">
        <is>
          <t>USD</t>
        </is>
      </c>
      <c r="J406" s="8">
        <f>IF($I406="AUD",Assumptions!$B$2,Assumptions!$B$3)</f>
        <v/>
      </c>
      <c r="K406" s="9">
        <f>$G406*$H406*$J406</f>
        <v/>
      </c>
      <c r="L406" s="9">
        <f>$K406*Assumptions!$B$4</f>
        <v/>
      </c>
      <c r="M406" s="9">
        <f>RawTx[[#This Row],[Value USD]]/RawTx[[#This Row],[Quantity]]</f>
        <v/>
      </c>
      <c r="N406" s="9">
        <f>RawTx[[#This Row],[Value IDR]]/RawTx[[#This Row],[Quantity]]</f>
        <v/>
      </c>
      <c r="O406" s="4" t="inlineStr">
        <is>
          <t>PARTS KIT,BRACKET,VEH:RG00659;ORLANDI</t>
        </is>
      </c>
      <c r="P406" s="5" t="inlineStr">
        <is>
          <t>NA</t>
        </is>
      </c>
      <c r="Q406" s="13" t="inlineStr">
        <is>
          <t>NA</t>
        </is>
      </c>
      <c r="R406" s="7" t="n">
        <v>3.53</v>
      </c>
      <c r="S406" s="7">
        <f>IFERROR($R406/$G406,"")</f>
        <v/>
      </c>
      <c r="T406" s="7" t="inlineStr">
        <is>
          <t>NA</t>
        </is>
      </c>
      <c r="U406" s="7" t="inlineStr">
        <is>
          <t>NA</t>
        </is>
      </c>
      <c r="V406" s="7" t="inlineStr">
        <is>
          <t>NA</t>
        </is>
      </c>
      <c r="W406" s="9">
        <f>IF(ISNUMBER($T406),$T406*$J406*Assumptions!$B$4,"NA")</f>
        <v/>
      </c>
      <c r="X406" s="9">
        <f>IF(ISNUMBER($U406),$U406*$J406*Assumptions!$B$4,"NA")</f>
        <v/>
      </c>
      <c r="Y406" s="9">
        <f>IF(ISNUMBER($V406),$V406*$J406*Assumptions!$B$4,"NA")</f>
        <v/>
      </c>
    </row>
    <row r="407">
      <c r="A407" s="5" t="inlineStr">
        <is>
          <t>SSB Parts</t>
        </is>
      </c>
      <c r="B407" s="5" t="inlineStr">
        <is>
          <t>Coupling and towing</t>
        </is>
      </c>
      <c r="C407" s="5" t="inlineStr">
        <is>
          <t>MSM Group LLC</t>
        </is>
      </c>
      <c r="D407" s="5" t="inlineStr">
        <is>
          <t>Trader/Distributor</t>
        </is>
      </c>
      <c r="E407" s="5" t="inlineStr">
        <is>
          <t>Mongolia</t>
        </is>
      </c>
      <c r="F407" s="5" t="n">
        <v>2025</v>
      </c>
      <c r="G407" s="5" t="n">
        <v>2</v>
      </c>
      <c r="H407" s="7" t="n">
        <v>346.2</v>
      </c>
      <c r="I407" s="5" t="inlineStr">
        <is>
          <t>USD</t>
        </is>
      </c>
      <c r="J407" s="8">
        <f>IF($I407="AUD",Assumptions!$B$2,Assumptions!$B$3)</f>
        <v/>
      </c>
      <c r="K407" s="9">
        <f>$G407*$H407*$J407</f>
        <v/>
      </c>
      <c r="L407" s="9">
        <f>$K407*Assumptions!$B$4</f>
        <v/>
      </c>
      <c r="M407" s="9">
        <f>RawTx[[#This Row],[Value USD]]/RawTx[[#This Row],[Quantity]]</f>
        <v/>
      </c>
      <c r="N407" s="9">
        <f>RawTx[[#This Row],[Value IDR]]/RawTx[[#This Row],[Quantity]]</f>
        <v/>
      </c>
      <c r="O407" s="4" t="inlineStr">
        <is>
          <t>BRACKET,VEH:RG00695;ORLANDI</t>
        </is>
      </c>
      <c r="P407" s="5" t="inlineStr">
        <is>
          <t>NA</t>
        </is>
      </c>
      <c r="Q407" s="13" t="inlineStr">
        <is>
          <t>NA</t>
        </is>
      </c>
      <c r="R407" s="7" t="n">
        <v>4</v>
      </c>
      <c r="S407" s="7">
        <f>IFERROR($R407/$G407,"")</f>
        <v/>
      </c>
      <c r="T407" s="7" t="inlineStr">
        <is>
          <t>NA</t>
        </is>
      </c>
      <c r="U407" s="7" t="inlineStr">
        <is>
          <t>NA</t>
        </is>
      </c>
      <c r="V407" s="7" t="inlineStr">
        <is>
          <t>NA</t>
        </is>
      </c>
      <c r="W407" s="9">
        <f>IF(ISNUMBER($T407),$T407*$J407*Assumptions!$B$4,"NA")</f>
        <v/>
      </c>
      <c r="X407" s="9">
        <f>IF(ISNUMBER($U407),$U407*$J407*Assumptions!$B$4,"NA")</f>
        <v/>
      </c>
      <c r="Y407" s="9">
        <f>IF(ISNUMBER($V407),$V407*$J407*Assumptions!$B$4,"NA")</f>
        <v/>
      </c>
    </row>
    <row r="408">
      <c r="A408" s="5" t="inlineStr">
        <is>
          <t>SSB Parts</t>
        </is>
      </c>
      <c r="B408" s="5" t="inlineStr">
        <is>
          <t>Coupling and towing</t>
        </is>
      </c>
      <c r="C408" s="5" t="inlineStr">
        <is>
          <t>MSM Group LLC</t>
        </is>
      </c>
      <c r="D408" s="5" t="inlineStr">
        <is>
          <t>Trader/Distributor</t>
        </is>
      </c>
      <c r="E408" s="5" t="inlineStr">
        <is>
          <t>Mongolia</t>
        </is>
      </c>
      <c r="F408" s="5" t="n">
        <v>2025</v>
      </c>
      <c r="G408" s="5" t="n">
        <v>2</v>
      </c>
      <c r="H408" s="7" t="n">
        <v>75.17</v>
      </c>
      <c r="I408" s="5" t="inlineStr">
        <is>
          <t>USD</t>
        </is>
      </c>
      <c r="J408" s="8">
        <f>IF($I408="AUD",Assumptions!$B$2,Assumptions!$B$3)</f>
        <v/>
      </c>
      <c r="K408" s="9">
        <f>$G408*$H408*$J408</f>
        <v/>
      </c>
      <c r="L408" s="9">
        <f>$K408*Assumptions!$B$4</f>
        <v/>
      </c>
      <c r="M408" s="9">
        <f>RawTx[[#This Row],[Value USD]]/RawTx[[#This Row],[Quantity]]</f>
        <v/>
      </c>
      <c r="N408" s="9">
        <f>RawTx[[#This Row],[Value IDR]]/RawTx[[#This Row],[Quantity]]</f>
        <v/>
      </c>
      <c r="O408" s="4" t="inlineStr">
        <is>
          <t>PIN,LOCK:RG00707;ORLANDI</t>
        </is>
      </c>
      <c r="P408" s="5" t="inlineStr">
        <is>
          <t>NA</t>
        </is>
      </c>
      <c r="Q408" s="13" t="inlineStr">
        <is>
          <t>NA</t>
        </is>
      </c>
      <c r="R408" s="7" t="n">
        <v>2.34</v>
      </c>
      <c r="S408" s="7">
        <f>IFERROR($R408/$G408,"")</f>
        <v/>
      </c>
      <c r="T408" s="7" t="inlineStr">
        <is>
          <t>NA</t>
        </is>
      </c>
      <c r="U408" s="7" t="inlineStr">
        <is>
          <t>NA</t>
        </is>
      </c>
      <c r="V408" s="7" t="inlineStr">
        <is>
          <t>NA</t>
        </is>
      </c>
      <c r="W408" s="9">
        <f>IF(ISNUMBER($T408),$T408*$J408*Assumptions!$B$4,"NA")</f>
        <v/>
      </c>
      <c r="X408" s="9">
        <f>IF(ISNUMBER($U408),$U408*$J408*Assumptions!$B$4,"NA")</f>
        <v/>
      </c>
      <c r="Y408" s="9">
        <f>IF(ISNUMBER($V408),$V408*$J408*Assumptions!$B$4,"NA")</f>
        <v/>
      </c>
    </row>
    <row r="409">
      <c r="A409" s="5" t="inlineStr">
        <is>
          <t>SSB Parts</t>
        </is>
      </c>
      <c r="B409" s="5" t="inlineStr">
        <is>
          <t>Coupling and towing</t>
        </is>
      </c>
      <c r="C409" s="5" t="inlineStr">
        <is>
          <t>MSM Group LLC</t>
        </is>
      </c>
      <c r="D409" s="5" t="inlineStr">
        <is>
          <t>Trader/Distributor</t>
        </is>
      </c>
      <c r="E409" s="5" t="inlineStr">
        <is>
          <t>Mongolia</t>
        </is>
      </c>
      <c r="F409" s="5" t="n">
        <v>2025</v>
      </c>
      <c r="G409" s="5" t="n">
        <v>2</v>
      </c>
      <c r="H409" s="7" t="n">
        <v>91.64</v>
      </c>
      <c r="I409" s="5" t="inlineStr">
        <is>
          <t>USD</t>
        </is>
      </c>
      <c r="J409" s="8">
        <f>IF($I409="AUD",Assumptions!$B$2,Assumptions!$B$3)</f>
        <v/>
      </c>
      <c r="K409" s="9">
        <f>$G409*$H409*$J409</f>
        <v/>
      </c>
      <c r="L409" s="9">
        <f>$K409*Assumptions!$B$4</f>
        <v/>
      </c>
      <c r="M409" s="9">
        <f>RawTx[[#This Row],[Value USD]]/RawTx[[#This Row],[Quantity]]</f>
        <v/>
      </c>
      <c r="N409" s="9">
        <f>RawTx[[#This Row],[Value IDR]]/RawTx[[#This Row],[Quantity]]</f>
        <v/>
      </c>
      <c r="O409" s="4" t="inlineStr">
        <is>
          <t>PARTS KIT,DRAG LINK:RG00696;ORLANDI</t>
        </is>
      </c>
      <c r="P409" s="5" t="inlineStr">
        <is>
          <t>NA</t>
        </is>
      </c>
      <c r="Q409" s="13" t="inlineStr">
        <is>
          <t>NA</t>
        </is>
      </c>
      <c r="R409" s="7" t="n">
        <v>1.06</v>
      </c>
      <c r="S409" s="7">
        <f>IFERROR($R409/$G409,"")</f>
        <v/>
      </c>
      <c r="T409" s="7" t="inlineStr">
        <is>
          <t>NA</t>
        </is>
      </c>
      <c r="U409" s="7" t="inlineStr">
        <is>
          <t>NA</t>
        </is>
      </c>
      <c r="V409" s="7" t="inlineStr">
        <is>
          <t>NA</t>
        </is>
      </c>
      <c r="W409" s="9">
        <f>IF(ISNUMBER($T409),$T409*$J409*Assumptions!$B$4,"NA")</f>
        <v/>
      </c>
      <c r="X409" s="9">
        <f>IF(ISNUMBER($U409),$U409*$J409*Assumptions!$B$4,"NA")</f>
        <v/>
      </c>
      <c r="Y409" s="9">
        <f>IF(ISNUMBER($V409),$V409*$J409*Assumptions!$B$4,"NA")</f>
        <v/>
      </c>
    </row>
    <row r="410">
      <c r="A410" s="5" t="inlineStr">
        <is>
          <t>SSB Parts</t>
        </is>
      </c>
      <c r="B410" s="5" t="inlineStr">
        <is>
          <t>Coupling and towing</t>
        </is>
      </c>
      <c r="C410" s="5" t="inlineStr">
        <is>
          <t>MSM Group LLC</t>
        </is>
      </c>
      <c r="D410" s="5" t="inlineStr">
        <is>
          <t>Trader/Distributor</t>
        </is>
      </c>
      <c r="E410" s="5" t="inlineStr">
        <is>
          <t>Mongolia</t>
        </is>
      </c>
      <c r="F410" s="5" t="n">
        <v>2025</v>
      </c>
      <c r="G410" s="5" t="n">
        <v>2</v>
      </c>
      <c r="H410" s="7" t="n">
        <v>1252.42</v>
      </c>
      <c r="I410" s="5" t="inlineStr">
        <is>
          <t>USD</t>
        </is>
      </c>
      <c r="J410" s="8">
        <f>IF($I410="AUD",Assumptions!$B$2,Assumptions!$B$3)</f>
        <v/>
      </c>
      <c r="K410" s="9">
        <f>$G410*$H410*$J410</f>
        <v/>
      </c>
      <c r="L410" s="9">
        <f>$K410*Assumptions!$B$4</f>
        <v/>
      </c>
      <c r="M410" s="9">
        <f>RawTx[[#This Row],[Value USD]]/RawTx[[#This Row],[Quantity]]</f>
        <v/>
      </c>
      <c r="N410" s="9">
        <f>RawTx[[#This Row],[Value IDR]]/RawTx[[#This Row],[Quantity]]</f>
        <v/>
      </c>
      <c r="O410" s="4" t="inlineStr">
        <is>
          <t>PARTS KIT,DRAG LINK:RG00727;ORLANDI</t>
        </is>
      </c>
      <c r="P410" s="5" t="inlineStr">
        <is>
          <t>NA</t>
        </is>
      </c>
      <c r="Q410" s="13" t="inlineStr">
        <is>
          <t>NA</t>
        </is>
      </c>
      <c r="R410" s="7" t="n">
        <v>14.46</v>
      </c>
      <c r="S410" s="7">
        <f>IFERROR($R410/$G410,"")</f>
        <v/>
      </c>
      <c r="T410" s="7" t="inlineStr">
        <is>
          <t>NA</t>
        </is>
      </c>
      <c r="U410" s="7" t="inlineStr">
        <is>
          <t>NA</t>
        </is>
      </c>
      <c r="V410" s="7" t="inlineStr">
        <is>
          <t>NA</t>
        </is>
      </c>
      <c r="W410" s="9">
        <f>IF(ISNUMBER($T410),$T410*$J410*Assumptions!$B$4,"NA")</f>
        <v/>
      </c>
      <c r="X410" s="9">
        <f>IF(ISNUMBER($U410),$U410*$J410*Assumptions!$B$4,"NA")</f>
        <v/>
      </c>
      <c r="Y410" s="9">
        <f>IF(ISNUMBER($V410),$V410*$J410*Assumptions!$B$4,"NA")</f>
        <v/>
      </c>
    </row>
    <row r="411">
      <c r="A411" s="5" t="inlineStr">
        <is>
          <t>SSB Parts</t>
        </is>
      </c>
      <c r="B411" s="5" t="inlineStr">
        <is>
          <t>Coupling and towing</t>
        </is>
      </c>
      <c r="C411" s="5" t="inlineStr">
        <is>
          <t>MSM Group LLC</t>
        </is>
      </c>
      <c r="D411" s="5" t="inlineStr">
        <is>
          <t>Trader/Distributor</t>
        </is>
      </c>
      <c r="E411" s="5" t="inlineStr">
        <is>
          <t>Mongolia</t>
        </is>
      </c>
      <c r="F411" s="5" t="n">
        <v>2025</v>
      </c>
      <c r="G411" s="5" t="n">
        <v>2</v>
      </c>
      <c r="H411" s="7" t="n">
        <v>325.83</v>
      </c>
      <c r="I411" s="5" t="inlineStr">
        <is>
          <t>USD</t>
        </is>
      </c>
      <c r="J411" s="8">
        <f>IF($I411="AUD",Assumptions!$B$2,Assumptions!$B$3)</f>
        <v/>
      </c>
      <c r="K411" s="9">
        <f>$G411*$H411*$J411</f>
        <v/>
      </c>
      <c r="L411" s="9">
        <f>$K411*Assumptions!$B$4</f>
        <v/>
      </c>
      <c r="M411" s="9">
        <f>RawTx[[#This Row],[Value USD]]/RawTx[[#This Row],[Quantity]]</f>
        <v/>
      </c>
      <c r="N411" s="9">
        <f>RawTx[[#This Row],[Value IDR]]/RawTx[[#This Row],[Quantity]]</f>
        <v/>
      </c>
      <c r="O411" s="4" t="inlineStr">
        <is>
          <t>BOLT-SPACER KIT:RG00691;ORLANDI</t>
        </is>
      </c>
      <c r="P411" s="5" t="inlineStr">
        <is>
          <t>NA</t>
        </is>
      </c>
      <c r="Q411" s="13" t="inlineStr">
        <is>
          <t>NA</t>
        </is>
      </c>
      <c r="R411" s="7" t="n">
        <v>3.76</v>
      </c>
      <c r="S411" s="7">
        <f>IFERROR($R411/$G411,"")</f>
        <v/>
      </c>
      <c r="T411" s="7" t="inlineStr">
        <is>
          <t>NA</t>
        </is>
      </c>
      <c r="U411" s="7" t="inlineStr">
        <is>
          <t>NA</t>
        </is>
      </c>
      <c r="V411" s="7" t="inlineStr">
        <is>
          <t>NA</t>
        </is>
      </c>
      <c r="W411" s="9">
        <f>IF(ISNUMBER($T411),$T411*$J411*Assumptions!$B$4,"NA")</f>
        <v/>
      </c>
      <c r="X411" s="9">
        <f>IF(ISNUMBER($U411),$U411*$J411*Assumptions!$B$4,"NA")</f>
        <v/>
      </c>
      <c r="Y411" s="9">
        <f>IF(ISNUMBER($V411),$V411*$J411*Assumptions!$B$4,"NA")</f>
        <v/>
      </c>
    </row>
    <row r="412">
      <c r="A412" s="5" t="inlineStr">
        <is>
          <t>SSB Parts</t>
        </is>
      </c>
      <c r="B412" s="5" t="inlineStr">
        <is>
          <t>Coupling and towing</t>
        </is>
      </c>
      <c r="C412" s="5" t="inlineStr">
        <is>
          <t>MSM Group LLC</t>
        </is>
      </c>
      <c r="D412" s="5" t="inlineStr">
        <is>
          <t>Trader/Distributor</t>
        </is>
      </c>
      <c r="E412" s="5" t="inlineStr">
        <is>
          <t>Mongolia</t>
        </is>
      </c>
      <c r="F412" s="5" t="n">
        <v>2025</v>
      </c>
      <c r="G412" s="5" t="n">
        <v>2</v>
      </c>
      <c r="H412" s="7" t="n">
        <v>551.88</v>
      </c>
      <c r="I412" s="5" t="inlineStr">
        <is>
          <t>USD</t>
        </is>
      </c>
      <c r="J412" s="8">
        <f>IF($I412="AUD",Assumptions!$B$2,Assumptions!$B$3)</f>
        <v/>
      </c>
      <c r="K412" s="9">
        <f>$G412*$H412*$J412</f>
        <v/>
      </c>
      <c r="L412" s="9">
        <f>$K412*Assumptions!$B$4</f>
        <v/>
      </c>
      <c r="M412" s="9">
        <f>RawTx[[#This Row],[Value USD]]/RawTx[[#This Row],[Quantity]]</f>
        <v/>
      </c>
      <c r="N412" s="9">
        <f>RawTx[[#This Row],[Value IDR]]/RawTx[[#This Row],[Quantity]]</f>
        <v/>
      </c>
      <c r="O412" s="4" t="inlineStr">
        <is>
          <t>PARTS KIT,DRAG LINK:RG00694;ORLANDI</t>
        </is>
      </c>
      <c r="P412" s="5" t="inlineStr">
        <is>
          <t>NA</t>
        </is>
      </c>
      <c r="Q412" s="13" t="inlineStr">
        <is>
          <t>NA</t>
        </is>
      </c>
      <c r="R412" s="7" t="n">
        <v>6.37</v>
      </c>
      <c r="S412" s="7">
        <f>IFERROR($R412/$G412,"")</f>
        <v/>
      </c>
      <c r="T412" s="7" t="inlineStr">
        <is>
          <t>NA</t>
        </is>
      </c>
      <c r="U412" s="7" t="inlineStr">
        <is>
          <t>NA</t>
        </is>
      </c>
      <c r="V412" s="7" t="inlineStr">
        <is>
          <t>NA</t>
        </is>
      </c>
      <c r="W412" s="9">
        <f>IF(ISNUMBER($T412),$T412*$J412*Assumptions!$B$4,"NA")</f>
        <v/>
      </c>
      <c r="X412" s="9">
        <f>IF(ISNUMBER($U412),$U412*$J412*Assumptions!$B$4,"NA")</f>
        <v/>
      </c>
      <c r="Y412" s="9">
        <f>IF(ISNUMBER($V412),$V412*$J412*Assumptions!$B$4,"NA")</f>
        <v/>
      </c>
    </row>
    <row r="413">
      <c r="A413" s="5" t="inlineStr">
        <is>
          <t>SSB Parts</t>
        </is>
      </c>
      <c r="B413" s="5" t="inlineStr">
        <is>
          <t>Coupling and towing</t>
        </is>
      </c>
      <c r="C413" s="5" t="inlineStr">
        <is>
          <t>MSM Group LLC</t>
        </is>
      </c>
      <c r="D413" s="5" t="inlineStr">
        <is>
          <t>Trader/Distributor</t>
        </is>
      </c>
      <c r="E413" s="5" t="inlineStr">
        <is>
          <t>Mongolia</t>
        </is>
      </c>
      <c r="F413" s="5" t="n">
        <v>2025</v>
      </c>
      <c r="G413" s="5" t="n">
        <v>16</v>
      </c>
      <c r="H413" s="7" t="n">
        <v>39.6</v>
      </c>
      <c r="I413" s="5" t="inlineStr">
        <is>
          <t>USD</t>
        </is>
      </c>
      <c r="J413" s="8">
        <f>IF($I413="AUD",Assumptions!$B$2,Assumptions!$B$3)</f>
        <v/>
      </c>
      <c r="K413" s="9">
        <f>$G413*$H413*$J413</f>
        <v/>
      </c>
      <c r="L413" s="9">
        <f>$K413*Assumptions!$B$4</f>
        <v/>
      </c>
      <c r="M413" s="9">
        <f>RawTx[[#This Row],[Value USD]]/RawTx[[#This Row],[Quantity]]</f>
        <v/>
      </c>
      <c r="N413" s="9">
        <f>RawTx[[#This Row],[Value IDR]]/RawTx[[#This Row],[Quantity]]</f>
        <v/>
      </c>
      <c r="O413" s="4" t="inlineStr">
        <is>
          <t>BUSHING:ST52;SB111870106</t>
        </is>
      </c>
      <c r="P413" s="5" t="inlineStr">
        <is>
          <t>NA</t>
        </is>
      </c>
      <c r="Q413" s="13" t="inlineStr">
        <is>
          <t>NA</t>
        </is>
      </c>
      <c r="R413" s="7" t="n">
        <v>29.92</v>
      </c>
      <c r="S413" s="7">
        <f>IFERROR($R413/$G413,"")</f>
        <v/>
      </c>
      <c r="T413" s="7" t="inlineStr">
        <is>
          <t>NA</t>
        </is>
      </c>
      <c r="U413" s="7" t="inlineStr">
        <is>
          <t>NA</t>
        </is>
      </c>
      <c r="V413" s="7" t="inlineStr">
        <is>
          <t>NA</t>
        </is>
      </c>
      <c r="W413" s="9">
        <f>IF(ISNUMBER($T413),$T413*$J413*Assumptions!$B$4,"NA")</f>
        <v/>
      </c>
      <c r="X413" s="9">
        <f>IF(ISNUMBER($U413),$U413*$J413*Assumptions!$B$4,"NA")</f>
        <v/>
      </c>
      <c r="Y413" s="9">
        <f>IF(ISNUMBER($V413),$V413*$J413*Assumptions!$B$4,"NA")</f>
        <v/>
      </c>
    </row>
    <row r="414">
      <c r="A414" s="5" t="inlineStr">
        <is>
          <t>SSB Parts</t>
        </is>
      </c>
      <c r="B414" s="5" t="inlineStr">
        <is>
          <t>Coupling and towing</t>
        </is>
      </c>
      <c r="C414" s="5" t="inlineStr">
        <is>
          <t>MSM Group LLC</t>
        </is>
      </c>
      <c r="D414" s="5" t="inlineStr">
        <is>
          <t>Trader/Distributor</t>
        </is>
      </c>
      <c r="E414" s="5" t="inlineStr">
        <is>
          <t>Mongolia</t>
        </is>
      </c>
      <c r="F414" s="5" t="n">
        <v>2025</v>
      </c>
      <c r="G414" s="5" t="n">
        <v>2</v>
      </c>
      <c r="H414" s="7" t="n">
        <v>702.5700000000001</v>
      </c>
      <c r="I414" s="5" t="inlineStr">
        <is>
          <t>USD</t>
        </is>
      </c>
      <c r="J414" s="8">
        <f>IF($I414="AUD",Assumptions!$B$2,Assumptions!$B$3)</f>
        <v/>
      </c>
      <c r="K414" s="9">
        <f>$G414*$H414*$J414</f>
        <v/>
      </c>
      <c r="L414" s="9">
        <f>$K414*Assumptions!$B$4</f>
        <v/>
      </c>
      <c r="M414" s="9">
        <f>RawTx[[#This Row],[Value USD]]/RawTx[[#This Row],[Quantity]]</f>
        <v/>
      </c>
      <c r="N414" s="9">
        <f>RawTx[[#This Row],[Value IDR]]/RawTx[[#This Row],[Quantity]]</f>
        <v/>
      </c>
      <c r="O414" s="4" t="inlineStr">
        <is>
          <t>PINTLE,TOWING:RG00697;ORLANDI</t>
        </is>
      </c>
      <c r="P414" s="5" t="inlineStr">
        <is>
          <t>NA</t>
        </is>
      </c>
      <c r="Q414" s="13" t="inlineStr">
        <is>
          <t>NA</t>
        </is>
      </c>
      <c r="R414" s="7" t="n">
        <v>8.109999999999999</v>
      </c>
      <c r="S414" s="7">
        <f>IFERROR($R414/$G414,"")</f>
        <v/>
      </c>
      <c r="T414" s="7" t="inlineStr">
        <is>
          <t>NA</t>
        </is>
      </c>
      <c r="U414" s="7" t="inlineStr">
        <is>
          <t>NA</t>
        </is>
      </c>
      <c r="V414" s="7" t="inlineStr">
        <is>
          <t>NA</t>
        </is>
      </c>
      <c r="W414" s="9">
        <f>IF(ISNUMBER($T414),$T414*$J414*Assumptions!$B$4,"NA")</f>
        <v/>
      </c>
      <c r="X414" s="9">
        <f>IF(ISNUMBER($U414),$U414*$J414*Assumptions!$B$4,"NA")</f>
        <v/>
      </c>
      <c r="Y414" s="9">
        <f>IF(ISNUMBER($V414),$V414*$J414*Assumptions!$B$4,"NA")</f>
        <v/>
      </c>
    </row>
    <row r="415">
      <c r="A415" s="5" t="inlineStr">
        <is>
          <t>SSB Parts</t>
        </is>
      </c>
      <c r="B415" s="5" t="inlineStr">
        <is>
          <t>Coupling and towing</t>
        </is>
      </c>
      <c r="C415" s="5" t="inlineStr">
        <is>
          <t>MSM Group LLC</t>
        </is>
      </c>
      <c r="D415" s="5" t="inlineStr">
        <is>
          <t>Trader/Distributor</t>
        </is>
      </c>
      <c r="E415" s="5" t="inlineStr">
        <is>
          <t>Mongolia</t>
        </is>
      </c>
      <c r="F415" s="5" t="n">
        <v>2025</v>
      </c>
      <c r="G415" s="5" t="n">
        <v>2</v>
      </c>
      <c r="H415" s="7" t="n">
        <v>753.49</v>
      </c>
      <c r="I415" s="5" t="inlineStr">
        <is>
          <t>USD</t>
        </is>
      </c>
      <c r="J415" s="8">
        <f>IF($I415="AUD",Assumptions!$B$2,Assumptions!$B$3)</f>
        <v/>
      </c>
      <c r="K415" s="9">
        <f>$G415*$H415*$J415</f>
        <v/>
      </c>
      <c r="L415" s="9">
        <f>$K415*Assumptions!$B$4</f>
        <v/>
      </c>
      <c r="M415" s="9">
        <f>RawTx[[#This Row],[Value USD]]/RawTx[[#This Row],[Quantity]]</f>
        <v/>
      </c>
      <c r="N415" s="9">
        <f>RawTx[[#This Row],[Value IDR]]/RawTx[[#This Row],[Quantity]]</f>
        <v/>
      </c>
      <c r="O415" s="4" t="inlineStr">
        <is>
          <t>PARTS KIT,DRAG LINK:RG00698;ORLANDI</t>
        </is>
      </c>
      <c r="P415" s="5" t="inlineStr">
        <is>
          <t>NA</t>
        </is>
      </c>
      <c r="Q415" s="13" t="inlineStr">
        <is>
          <t>NA</t>
        </is>
      </c>
      <c r="R415" s="7" t="n">
        <v>8.699999999999999</v>
      </c>
      <c r="S415" s="7">
        <f>IFERROR($R415/$G415,"")</f>
        <v/>
      </c>
      <c r="T415" s="7" t="inlineStr">
        <is>
          <t>NA</t>
        </is>
      </c>
      <c r="U415" s="7" t="inlineStr">
        <is>
          <t>NA</t>
        </is>
      </c>
      <c r="V415" s="7" t="inlineStr">
        <is>
          <t>NA</t>
        </is>
      </c>
      <c r="W415" s="9">
        <f>IF(ISNUMBER($T415),$T415*$J415*Assumptions!$B$4,"NA")</f>
        <v/>
      </c>
      <c r="X415" s="9">
        <f>IF(ISNUMBER($U415),$U415*$J415*Assumptions!$B$4,"NA")</f>
        <v/>
      </c>
      <c r="Y415" s="9">
        <f>IF(ISNUMBER($V415),$V415*$J415*Assumptions!$B$4,"NA")</f>
        <v/>
      </c>
    </row>
    <row r="416">
      <c r="A416" s="5" t="inlineStr">
        <is>
          <t>SSB Parts</t>
        </is>
      </c>
      <c r="B416" s="5" t="inlineStr">
        <is>
          <t>Coupling and towing</t>
        </is>
      </c>
      <c r="C416" s="5" t="inlineStr">
        <is>
          <t>MSM Group LLC</t>
        </is>
      </c>
      <c r="D416" s="5" t="inlineStr">
        <is>
          <t>Trader/Distributor</t>
        </is>
      </c>
      <c r="E416" s="5" t="inlineStr">
        <is>
          <t>Mongolia</t>
        </is>
      </c>
      <c r="F416" s="5" t="n">
        <v>2025</v>
      </c>
      <c r="G416" s="5" t="n">
        <v>2</v>
      </c>
      <c r="H416" s="7" t="n">
        <v>132.37</v>
      </c>
      <c r="I416" s="5" t="inlineStr">
        <is>
          <t>USD</t>
        </is>
      </c>
      <c r="J416" s="8">
        <f>IF($I416="AUD",Assumptions!$B$2,Assumptions!$B$3)</f>
        <v/>
      </c>
      <c r="K416" s="9">
        <f>$G416*$H416*$J416</f>
        <v/>
      </c>
      <c r="L416" s="9">
        <f>$K416*Assumptions!$B$4</f>
        <v/>
      </c>
      <c r="M416" s="9">
        <f>RawTx[[#This Row],[Value USD]]/RawTx[[#This Row],[Quantity]]</f>
        <v/>
      </c>
      <c r="N416" s="9">
        <f>RawTx[[#This Row],[Value IDR]]/RawTx[[#This Row],[Quantity]]</f>
        <v/>
      </c>
      <c r="O416" s="4" t="inlineStr">
        <is>
          <t>NUT,HEX:RG00660;ORLANDI</t>
        </is>
      </c>
      <c r="P416" s="5" t="inlineStr">
        <is>
          <t>NA</t>
        </is>
      </c>
      <c r="Q416" s="13" t="inlineStr">
        <is>
          <t>NA</t>
        </is>
      </c>
      <c r="R416" s="7" t="n">
        <v>2.34</v>
      </c>
      <c r="S416" s="7">
        <f>IFERROR($R416/$G416,"")</f>
        <v/>
      </c>
      <c r="T416" s="7" t="inlineStr">
        <is>
          <t>NA</t>
        </is>
      </c>
      <c r="U416" s="7" t="inlineStr">
        <is>
          <t>NA</t>
        </is>
      </c>
      <c r="V416" s="7" t="inlineStr">
        <is>
          <t>NA</t>
        </is>
      </c>
      <c r="W416" s="9">
        <f>IF(ISNUMBER($T416),$T416*$J416*Assumptions!$B$4,"NA")</f>
        <v/>
      </c>
      <c r="X416" s="9">
        <f>IF(ISNUMBER($U416),$U416*$J416*Assumptions!$B$4,"NA")</f>
        <v/>
      </c>
      <c r="Y416" s="9">
        <f>IF(ISNUMBER($V416),$V416*$J416*Assumptions!$B$4,"NA")</f>
        <v/>
      </c>
    </row>
    <row r="417">
      <c r="A417" s="5" t="inlineStr">
        <is>
          <t>SSB Parts</t>
        </is>
      </c>
      <c r="B417" s="5" t="inlineStr">
        <is>
          <t>Coupling and towing</t>
        </is>
      </c>
      <c r="C417" s="5" t="inlineStr">
        <is>
          <t>MSM Group LLC</t>
        </is>
      </c>
      <c r="D417" s="5" t="inlineStr">
        <is>
          <t>Trader/Distributor</t>
        </is>
      </c>
      <c r="E417" s="5" t="inlineStr">
        <is>
          <t>Mongolia</t>
        </is>
      </c>
      <c r="F417" s="5" t="n">
        <v>2025</v>
      </c>
      <c r="G417" s="5" t="n">
        <v>2</v>
      </c>
      <c r="H417" s="7" t="n">
        <v>132.37</v>
      </c>
      <c r="I417" s="5" t="inlineStr">
        <is>
          <t>USD</t>
        </is>
      </c>
      <c r="J417" s="8">
        <f>IF($I417="AUD",Assumptions!$B$2,Assumptions!$B$3)</f>
        <v/>
      </c>
      <c r="K417" s="9">
        <f>$G417*$H417*$J417</f>
        <v/>
      </c>
      <c r="L417" s="9">
        <f>$K417*Assumptions!$B$4</f>
        <v/>
      </c>
      <c r="M417" s="9">
        <f>RawTx[[#This Row],[Value USD]]/RawTx[[#This Row],[Quantity]]</f>
        <v/>
      </c>
      <c r="N417" s="9">
        <f>RawTx[[#This Row],[Value IDR]]/RawTx[[#This Row],[Quantity]]</f>
        <v/>
      </c>
      <c r="O417" s="4" t="inlineStr">
        <is>
          <t>BOLT-SPACER KIT:RG00554;ORLANDI</t>
        </is>
      </c>
      <c r="P417" s="5" t="inlineStr">
        <is>
          <t>NA</t>
        </is>
      </c>
      <c r="Q417" s="13" t="inlineStr">
        <is>
          <t>NA</t>
        </is>
      </c>
      <c r="R417" s="7" t="n">
        <v>2.34</v>
      </c>
      <c r="S417" s="7">
        <f>IFERROR($R417/$G417,"")</f>
        <v/>
      </c>
      <c r="T417" s="7" t="inlineStr">
        <is>
          <t>NA</t>
        </is>
      </c>
      <c r="U417" s="7" t="inlineStr">
        <is>
          <t>NA</t>
        </is>
      </c>
      <c r="V417" s="7" t="inlineStr">
        <is>
          <t>NA</t>
        </is>
      </c>
      <c r="W417" s="9">
        <f>IF(ISNUMBER($T417),$T417*$J417*Assumptions!$B$4,"NA")</f>
        <v/>
      </c>
      <c r="X417" s="9">
        <f>IF(ISNUMBER($U417),$U417*$J417*Assumptions!$B$4,"NA")</f>
        <v/>
      </c>
      <c r="Y417" s="9">
        <f>IF(ISNUMBER($V417),$V417*$J417*Assumptions!$B$4,"NA")</f>
        <v/>
      </c>
    </row>
    <row r="418">
      <c r="A418" s="5" t="inlineStr">
        <is>
          <t>SSB Parts</t>
        </is>
      </c>
      <c r="B418" s="5" t="inlineStr">
        <is>
          <t>Coupling and towing</t>
        </is>
      </c>
      <c r="C418" s="5" t="inlineStr">
        <is>
          <t>MSM Group LLC</t>
        </is>
      </c>
      <c r="D418" s="5" t="inlineStr">
        <is>
          <t>Trader/Distributor</t>
        </is>
      </c>
      <c r="E418" s="5" t="inlineStr">
        <is>
          <t>Mongolia</t>
        </is>
      </c>
      <c r="F418" s="5" t="n">
        <v>2025</v>
      </c>
      <c r="G418" s="5" t="n">
        <v>9</v>
      </c>
      <c r="H418" s="7" t="n">
        <v>58.97</v>
      </c>
      <c r="I418" s="5" t="inlineStr">
        <is>
          <t>USD</t>
        </is>
      </c>
      <c r="J418" s="8">
        <f>IF($I418="AUD",Assumptions!$B$2,Assumptions!$B$3)</f>
        <v/>
      </c>
      <c r="K418" s="9">
        <f>$G418*$H418*$J418</f>
        <v/>
      </c>
      <c r="L418" s="9">
        <f>$K418*Assumptions!$B$4</f>
        <v/>
      </c>
      <c r="M418" s="9">
        <f>RawTx[[#This Row],[Value USD]]/RawTx[[#This Row],[Quantity]]</f>
        <v/>
      </c>
      <c r="N418" s="9">
        <f>RawTx[[#This Row],[Value IDR]]/RawTx[[#This Row],[Quantity]]</f>
        <v/>
      </c>
      <c r="O418" s="4" t="inlineStr">
        <is>
          <t>BUSHING,PIPE:SB111870124</t>
        </is>
      </c>
      <c r="P418" s="5" t="inlineStr">
        <is>
          <t>NA</t>
        </is>
      </c>
      <c r="Q418" s="13" t="inlineStr">
        <is>
          <t>NA</t>
        </is>
      </c>
      <c r="R418" s="7" t="n">
        <v>16.83</v>
      </c>
      <c r="S418" s="7">
        <f>IFERROR($R418/$G418,"")</f>
        <v/>
      </c>
      <c r="T418" s="7" t="inlineStr">
        <is>
          <t>NA</t>
        </is>
      </c>
      <c r="U418" s="7" t="inlineStr">
        <is>
          <t>NA</t>
        </is>
      </c>
      <c r="V418" s="7" t="inlineStr">
        <is>
          <t>NA</t>
        </is>
      </c>
      <c r="W418" s="9">
        <f>IF(ISNUMBER($T418),$T418*$J418*Assumptions!$B$4,"NA")</f>
        <v/>
      </c>
      <c r="X418" s="9">
        <f>IF(ISNUMBER($U418),$U418*$J418*Assumptions!$B$4,"NA")</f>
        <v/>
      </c>
      <c r="Y418" s="9">
        <f>IF(ISNUMBER($V418),$V418*$J418*Assumptions!$B$4,"NA")</f>
        <v/>
      </c>
    </row>
    <row r="419">
      <c r="A419" s="5" t="inlineStr">
        <is>
          <t>SSB Parts</t>
        </is>
      </c>
      <c r="B419" s="5" t="inlineStr">
        <is>
          <t>Coupling and towing</t>
        </is>
      </c>
      <c r="C419" s="5" t="inlineStr">
        <is>
          <t>MSM Group LLC</t>
        </is>
      </c>
      <c r="D419" s="5" t="inlineStr">
        <is>
          <t>Trader/Distributor</t>
        </is>
      </c>
      <c r="E419" s="5" t="inlineStr">
        <is>
          <t>Mongolia</t>
        </is>
      </c>
      <c r="F419" s="5" t="n">
        <v>2025</v>
      </c>
      <c r="G419" s="5" t="n">
        <v>8</v>
      </c>
      <c r="H419" s="7" t="n">
        <v>99.52</v>
      </c>
      <c r="I419" s="5" t="inlineStr">
        <is>
          <t>USD</t>
        </is>
      </c>
      <c r="J419" s="8">
        <f>IF($I419="AUD",Assumptions!$B$2,Assumptions!$B$3)</f>
        <v/>
      </c>
      <c r="K419" s="9">
        <f>$G419*$H419*$J419</f>
        <v/>
      </c>
      <c r="L419" s="9">
        <f>$K419*Assumptions!$B$4</f>
        <v/>
      </c>
      <c r="M419" s="9">
        <f>RawTx[[#This Row],[Value USD]]/RawTx[[#This Row],[Quantity]]</f>
        <v/>
      </c>
      <c r="N419" s="9">
        <f>RawTx[[#This Row],[Value IDR]]/RawTx[[#This Row],[Quantity]]</f>
        <v/>
      </c>
      <c r="O419" s="4" t="inlineStr">
        <is>
          <t>PIN,LOCK:SB111870107</t>
        </is>
      </c>
      <c r="P419" s="5" t="inlineStr">
        <is>
          <t>NA</t>
        </is>
      </c>
      <c r="Q419" s="13" t="inlineStr">
        <is>
          <t>NA</t>
        </is>
      </c>
      <c r="R419" s="7" t="n">
        <v>14.96</v>
      </c>
      <c r="S419" s="7">
        <f>IFERROR($R419/$G419,"")</f>
        <v/>
      </c>
      <c r="T419" s="7" t="inlineStr">
        <is>
          <t>NA</t>
        </is>
      </c>
      <c r="U419" s="7" t="inlineStr">
        <is>
          <t>NA</t>
        </is>
      </c>
      <c r="V419" s="7" t="inlineStr">
        <is>
          <t>NA</t>
        </is>
      </c>
      <c r="W419" s="9">
        <f>IF(ISNUMBER($T419),$T419*$J419*Assumptions!$B$4,"NA")</f>
        <v/>
      </c>
      <c r="X419" s="9">
        <f>IF(ISNUMBER($U419),$U419*$J419*Assumptions!$B$4,"NA")</f>
        <v/>
      </c>
      <c r="Y419" s="9">
        <f>IF(ISNUMBER($V419),$V419*$J419*Assumptions!$B$4,"NA")</f>
        <v/>
      </c>
    </row>
    <row r="420">
      <c r="A420" s="5" t="inlineStr">
        <is>
          <t>SSB Parts</t>
        </is>
      </c>
      <c r="B420" s="5" t="inlineStr">
        <is>
          <t>Coupling and towing</t>
        </is>
      </c>
      <c r="C420" s="5" t="inlineStr">
        <is>
          <t>MSM Group LLC</t>
        </is>
      </c>
      <c r="D420" s="5" t="inlineStr">
        <is>
          <t>Trader/Distributor</t>
        </is>
      </c>
      <c r="E420" s="5" t="inlineStr">
        <is>
          <t>Mongolia</t>
        </is>
      </c>
      <c r="F420" s="5" t="n">
        <v>2025</v>
      </c>
      <c r="G420" s="5" t="n">
        <v>3</v>
      </c>
      <c r="H420" s="7" t="n">
        <v>98.27</v>
      </c>
      <c r="I420" s="5" t="inlineStr">
        <is>
          <t>USD</t>
        </is>
      </c>
      <c r="J420" s="8">
        <f>IF($I420="AUD",Assumptions!$B$2,Assumptions!$B$3)</f>
        <v/>
      </c>
      <c r="K420" s="9">
        <f>$G420*$H420*$J420</f>
        <v/>
      </c>
      <c r="L420" s="9">
        <f>$K420*Assumptions!$B$4</f>
        <v/>
      </c>
      <c r="M420" s="9">
        <f>RawTx[[#This Row],[Value USD]]/RawTx[[#This Row],[Quantity]]</f>
        <v/>
      </c>
      <c r="N420" s="9">
        <f>RawTx[[#This Row],[Value IDR]]/RawTx[[#This Row],[Quantity]]</f>
        <v/>
      </c>
      <c r="O420" s="4" t="inlineStr">
        <is>
          <t>BRACKET,MOUNT:SB11187020105</t>
        </is>
      </c>
      <c r="P420" s="5" t="inlineStr">
        <is>
          <t>NA</t>
        </is>
      </c>
      <c r="Q420" s="13" t="inlineStr">
        <is>
          <t>NA</t>
        </is>
      </c>
      <c r="R420" s="7" t="n">
        <v>10.6</v>
      </c>
      <c r="S420" s="7">
        <f>IFERROR($R420/$G420,"")</f>
        <v/>
      </c>
      <c r="T420" s="7" t="inlineStr">
        <is>
          <t>NA</t>
        </is>
      </c>
      <c r="U420" s="7" t="inlineStr">
        <is>
          <t>NA</t>
        </is>
      </c>
      <c r="V420" s="7" t="inlineStr">
        <is>
          <t>NA</t>
        </is>
      </c>
      <c r="W420" s="9">
        <f>IF(ISNUMBER($T420),$T420*$J420*Assumptions!$B$4,"NA")</f>
        <v/>
      </c>
      <c r="X420" s="9">
        <f>IF(ISNUMBER($U420),$U420*$J420*Assumptions!$B$4,"NA")</f>
        <v/>
      </c>
      <c r="Y420" s="9">
        <f>IF(ISNUMBER($V420),$V420*$J420*Assumptions!$B$4,"NA")</f>
        <v/>
      </c>
    </row>
    <row r="421">
      <c r="A421" s="5" t="inlineStr">
        <is>
          <t>SSB Parts</t>
        </is>
      </c>
      <c r="B421" s="5" t="inlineStr">
        <is>
          <t>Electrical</t>
        </is>
      </c>
      <c r="C421" s="5" t="inlineStr">
        <is>
          <t>MSM Group LLC</t>
        </is>
      </c>
      <c r="D421" s="5" t="inlineStr">
        <is>
          <t>Trader/Distributor</t>
        </is>
      </c>
      <c r="E421" s="5" t="inlineStr">
        <is>
          <t>Mongolia</t>
        </is>
      </c>
      <c r="F421" s="5" t="n">
        <v>2025</v>
      </c>
      <c r="G421" s="5" t="n">
        <v>14</v>
      </c>
      <c r="H421" s="7" t="n">
        <v>245.4</v>
      </c>
      <c r="I421" s="5" t="inlineStr">
        <is>
          <t>USD</t>
        </is>
      </c>
      <c r="J421" s="8">
        <f>IF($I421="AUD",Assumptions!$B$2,Assumptions!$B$3)</f>
        <v/>
      </c>
      <c r="K421" s="9">
        <f>$G421*$H421*$J421</f>
        <v/>
      </c>
      <c r="L421" s="9">
        <f>$K421*Assumptions!$B$4</f>
        <v/>
      </c>
      <c r="M421" s="9">
        <f>RawTx[[#This Row],[Value USD]]/RawTx[[#This Row],[Quantity]]</f>
        <v/>
      </c>
      <c r="N421" s="9">
        <f>RawTx[[#This Row],[Value IDR]]/RawTx[[#This Row],[Quantity]]</f>
        <v/>
      </c>
      <c r="O421" s="4" t="inlineStr">
        <is>
          <t>CONN:ELC;23 WAY;2.0MM2;ALUM;13A;RING NUT</t>
        </is>
      </c>
      <c r="P421" s="5" t="inlineStr">
        <is>
          <t>NA</t>
        </is>
      </c>
      <c r="Q421" s="13" t="inlineStr">
        <is>
          <t>NA</t>
        </is>
      </c>
      <c r="R421" s="7" t="n">
        <v>6</v>
      </c>
      <c r="S421" s="7">
        <f>IFERROR($R421/$G421,"")</f>
        <v/>
      </c>
      <c r="T421" s="7" t="inlineStr">
        <is>
          <t>NA</t>
        </is>
      </c>
      <c r="U421" s="7" t="inlineStr">
        <is>
          <t>NA</t>
        </is>
      </c>
      <c r="V421" s="7" t="inlineStr">
        <is>
          <t>NA</t>
        </is>
      </c>
      <c r="W421" s="9">
        <f>IF(ISNUMBER($T421),$T421*$J421*Assumptions!$B$4,"NA")</f>
        <v/>
      </c>
      <c r="X421" s="9">
        <f>IF(ISNUMBER($U421),$U421*$J421*Assumptions!$B$4,"NA")</f>
        <v/>
      </c>
      <c r="Y421" s="9">
        <f>IF(ISNUMBER($V421),$V421*$J421*Assumptions!$B$4,"NA")</f>
        <v/>
      </c>
    </row>
    <row r="422">
      <c r="A422" s="5" t="inlineStr">
        <is>
          <t>SSB Parts</t>
        </is>
      </c>
      <c r="B422" s="5" t="inlineStr">
        <is>
          <t>Electrical</t>
        </is>
      </c>
      <c r="C422" s="5" t="inlineStr">
        <is>
          <t>MSM Group LLC</t>
        </is>
      </c>
      <c r="D422" s="5" t="inlineStr">
        <is>
          <t>Trader/Distributor</t>
        </is>
      </c>
      <c r="E422" s="5" t="inlineStr">
        <is>
          <t>Mongolia</t>
        </is>
      </c>
      <c r="F422" s="5" t="n">
        <v>2025</v>
      </c>
      <c r="G422" s="5" t="n">
        <v>2</v>
      </c>
      <c r="H422" s="7" t="n">
        <v>8.52</v>
      </c>
      <c r="I422" s="5" t="inlineStr">
        <is>
          <t>USD</t>
        </is>
      </c>
      <c r="J422" s="8">
        <f>IF($I422="AUD",Assumptions!$B$2,Assumptions!$B$3)</f>
        <v/>
      </c>
      <c r="K422" s="9">
        <f>$G422*$H422*$J422</f>
        <v/>
      </c>
      <c r="L422" s="9">
        <f>$K422*Assumptions!$B$4</f>
        <v/>
      </c>
      <c r="M422" s="9">
        <f>RawTx[[#This Row],[Value USD]]/RawTx[[#This Row],[Quantity]]</f>
        <v/>
      </c>
      <c r="N422" s="9">
        <f>RawTx[[#This Row],[Value IDR]]/RawTx[[#This Row],[Quantity]]</f>
        <v/>
      </c>
      <c r="O422" s="4" t="inlineStr">
        <is>
          <t>CONNECTOR:BULKHEAD;6MM TUBE;6MM TUBE</t>
        </is>
      </c>
      <c r="P422" s="5" t="inlineStr">
        <is>
          <t>NA</t>
        </is>
      </c>
      <c r="Q422" s="13" t="inlineStr">
        <is>
          <t>NA</t>
        </is>
      </c>
      <c r="R422" s="7" t="n">
        <v>1</v>
      </c>
      <c r="S422" s="7">
        <f>IFERROR($R422/$G422,"")</f>
        <v/>
      </c>
      <c r="T422" s="7" t="inlineStr">
        <is>
          <t>NA</t>
        </is>
      </c>
      <c r="U422" s="7" t="inlineStr">
        <is>
          <t>NA</t>
        </is>
      </c>
      <c r="V422" s="7" t="inlineStr">
        <is>
          <t>NA</t>
        </is>
      </c>
      <c r="W422" s="9">
        <f>IF(ISNUMBER($T422),$T422*$J422*Assumptions!$B$4,"NA")</f>
        <v/>
      </c>
      <c r="X422" s="9">
        <f>IF(ISNUMBER($U422),$U422*$J422*Assumptions!$B$4,"NA")</f>
        <v/>
      </c>
      <c r="Y422" s="9">
        <f>IF(ISNUMBER($V422),$V422*$J422*Assumptions!$B$4,"NA")</f>
        <v/>
      </c>
    </row>
    <row r="423">
      <c r="A423" s="5" t="inlineStr">
        <is>
          <t>SSB Parts</t>
        </is>
      </c>
      <c r="B423" s="5" t="inlineStr">
        <is>
          <t>Electrical</t>
        </is>
      </c>
      <c r="C423" s="5" t="inlineStr">
        <is>
          <t>MSM Group LLC</t>
        </is>
      </c>
      <c r="D423" s="5" t="inlineStr">
        <is>
          <t>Trader/Distributor</t>
        </is>
      </c>
      <c r="E423" s="5" t="inlineStr">
        <is>
          <t>Mongolia</t>
        </is>
      </c>
      <c r="F423" s="5" t="n">
        <v>2025</v>
      </c>
      <c r="G423" s="5" t="n">
        <v>2</v>
      </c>
      <c r="H423" s="7" t="n">
        <v>77.95999999999999</v>
      </c>
      <c r="I423" s="5" t="inlineStr">
        <is>
          <t>USD</t>
        </is>
      </c>
      <c r="J423" s="8">
        <f>IF($I423="AUD",Assumptions!$B$2,Assumptions!$B$3)</f>
        <v/>
      </c>
      <c r="K423" s="9">
        <f>$G423*$H423*$J423</f>
        <v/>
      </c>
      <c r="L423" s="9">
        <f>$K423*Assumptions!$B$4</f>
        <v/>
      </c>
      <c r="M423" s="9">
        <f>RawTx[[#This Row],[Value USD]]/RawTx[[#This Row],[Quantity]]</f>
        <v/>
      </c>
      <c r="N423" s="9">
        <f>RawTx[[#This Row],[Value IDR]]/RawTx[[#This Row],[Quantity]]</f>
        <v/>
      </c>
      <c r="O423" s="4" t="inlineStr">
        <is>
          <t>COVER,PROTEC DUST:RH UPPER</t>
        </is>
      </c>
      <c r="P423" s="5" t="inlineStr">
        <is>
          <t>NA</t>
        </is>
      </c>
      <c r="Q423" s="13" t="inlineStr">
        <is>
          <t>NA</t>
        </is>
      </c>
      <c r="R423" s="7" t="n">
        <v>1.43</v>
      </c>
      <c r="S423" s="7">
        <f>IFERROR($R423/$G423,"")</f>
        <v/>
      </c>
      <c r="T423" s="7" t="inlineStr">
        <is>
          <t>NA</t>
        </is>
      </c>
      <c r="U423" s="7" t="inlineStr">
        <is>
          <t>NA</t>
        </is>
      </c>
      <c r="V423" s="7" t="inlineStr">
        <is>
          <t>NA</t>
        </is>
      </c>
      <c r="W423" s="9">
        <f>IF(ISNUMBER($T423),$T423*$J423*Assumptions!$B$4,"NA")</f>
        <v/>
      </c>
      <c r="X423" s="9">
        <f>IF(ISNUMBER($U423),$U423*$J423*Assumptions!$B$4,"NA")</f>
        <v/>
      </c>
      <c r="Y423" s="9">
        <f>IF(ISNUMBER($V423),$V423*$J423*Assumptions!$B$4,"NA")</f>
        <v/>
      </c>
    </row>
    <row r="424">
      <c r="A424" s="5" t="inlineStr">
        <is>
          <t>SSB Parts</t>
        </is>
      </c>
      <c r="B424" s="5" t="inlineStr">
        <is>
          <t>Electrical</t>
        </is>
      </c>
      <c r="C424" s="5" t="inlineStr">
        <is>
          <t>MSM Group LLC</t>
        </is>
      </c>
      <c r="D424" s="5" t="inlineStr">
        <is>
          <t>Trader/Distributor</t>
        </is>
      </c>
      <c r="E424" s="5" t="inlineStr">
        <is>
          <t>Mongolia</t>
        </is>
      </c>
      <c r="F424" s="5" t="n">
        <v>2025</v>
      </c>
      <c r="G424" s="5" t="n">
        <v>6</v>
      </c>
      <c r="H424" s="7" t="n">
        <v>59.46</v>
      </c>
      <c r="I424" s="5" t="inlineStr">
        <is>
          <t>USD</t>
        </is>
      </c>
      <c r="J424" s="8">
        <f>IF($I424="AUD",Assumptions!$B$2,Assumptions!$B$3)</f>
        <v/>
      </c>
      <c r="K424" s="9">
        <f>$G424*$H424*$J424</f>
        <v/>
      </c>
      <c r="L424" s="9">
        <f>$K424*Assumptions!$B$4</f>
        <v/>
      </c>
      <c r="M424" s="9">
        <f>RawTx[[#This Row],[Value USD]]/RawTx[[#This Row],[Quantity]]</f>
        <v/>
      </c>
      <c r="N424" s="9">
        <f>RawTx[[#This Row],[Value IDR]]/RawTx[[#This Row],[Quantity]]</f>
        <v/>
      </c>
      <c r="O424" s="4" t="inlineStr">
        <is>
          <t>CONN:ELC;2 WAY;95MM2;PC;350A;GY</t>
        </is>
      </c>
      <c r="P424" s="5" t="inlineStr">
        <is>
          <t>NA</t>
        </is>
      </c>
      <c r="Q424" s="13" t="inlineStr">
        <is>
          <t>NA</t>
        </is>
      </c>
      <c r="R424" s="7" t="n">
        <v>2</v>
      </c>
      <c r="S424" s="7">
        <f>IFERROR($R424/$G424,"")</f>
        <v/>
      </c>
      <c r="T424" s="7" t="inlineStr">
        <is>
          <t>NA</t>
        </is>
      </c>
      <c r="U424" s="7" t="inlineStr">
        <is>
          <t>NA</t>
        </is>
      </c>
      <c r="V424" s="7" t="inlineStr">
        <is>
          <t>NA</t>
        </is>
      </c>
      <c r="W424" s="9">
        <f>IF(ISNUMBER($T424),$T424*$J424*Assumptions!$B$4,"NA")</f>
        <v/>
      </c>
      <c r="X424" s="9">
        <f>IF(ISNUMBER($U424),$U424*$J424*Assumptions!$B$4,"NA")</f>
        <v/>
      </c>
      <c r="Y424" s="9">
        <f>IF(ISNUMBER($V424),$V424*$J424*Assumptions!$B$4,"NA")</f>
        <v/>
      </c>
    </row>
    <row r="425">
      <c r="A425" s="5" t="inlineStr">
        <is>
          <t>SSB Parts</t>
        </is>
      </c>
      <c r="B425" s="5" t="inlineStr">
        <is>
          <t>Electrical</t>
        </is>
      </c>
      <c r="C425" s="5" t="inlineStr">
        <is>
          <t>MSM Group LLC</t>
        </is>
      </c>
      <c r="D425" s="5" t="inlineStr">
        <is>
          <t>Trader/Distributor</t>
        </is>
      </c>
      <c r="E425" s="5" t="inlineStr">
        <is>
          <t>Mongolia</t>
        </is>
      </c>
      <c r="F425" s="5" t="n">
        <v>2025</v>
      </c>
      <c r="G425" s="5" t="n">
        <v>2</v>
      </c>
      <c r="H425" s="7" t="n">
        <v>77.95999999999999</v>
      </c>
      <c r="I425" s="5" t="inlineStr">
        <is>
          <t>USD</t>
        </is>
      </c>
      <c r="J425" s="8">
        <f>IF($I425="AUD",Assumptions!$B$2,Assumptions!$B$3)</f>
        <v/>
      </c>
      <c r="K425" s="9">
        <f>$G425*$H425*$J425</f>
        <v/>
      </c>
      <c r="L425" s="9">
        <f>$K425*Assumptions!$B$4</f>
        <v/>
      </c>
      <c r="M425" s="9">
        <f>RawTx[[#This Row],[Value USD]]/RawTx[[#This Row],[Quantity]]</f>
        <v/>
      </c>
      <c r="N425" s="9">
        <f>RawTx[[#This Row],[Value IDR]]/RawTx[[#This Row],[Quantity]]</f>
        <v/>
      </c>
      <c r="O425" s="4" t="inlineStr">
        <is>
          <t>COVER,PROTEC DUST:RH LOWER</t>
        </is>
      </c>
      <c r="P425" s="5" t="inlineStr">
        <is>
          <t>NA</t>
        </is>
      </c>
      <c r="Q425" s="13" t="inlineStr">
        <is>
          <t>NA</t>
        </is>
      </c>
      <c r="R425" s="7" t="n">
        <v>1.43</v>
      </c>
      <c r="S425" s="7">
        <f>IFERROR($R425/$G425,"")</f>
        <v/>
      </c>
      <c r="T425" s="7" t="inlineStr">
        <is>
          <t>NA</t>
        </is>
      </c>
      <c r="U425" s="7" t="inlineStr">
        <is>
          <t>NA</t>
        </is>
      </c>
      <c r="V425" s="7" t="inlineStr">
        <is>
          <t>NA</t>
        </is>
      </c>
      <c r="W425" s="9">
        <f>IF(ISNUMBER($T425),$T425*$J425*Assumptions!$B$4,"NA")</f>
        <v/>
      </c>
      <c r="X425" s="9">
        <f>IF(ISNUMBER($U425),$U425*$J425*Assumptions!$B$4,"NA")</f>
        <v/>
      </c>
      <c r="Y425" s="9">
        <f>IF(ISNUMBER($V425),$V425*$J425*Assumptions!$B$4,"NA")</f>
        <v/>
      </c>
    </row>
    <row r="426">
      <c r="A426" s="5" t="inlineStr">
        <is>
          <t>SSB Parts</t>
        </is>
      </c>
      <c r="B426" s="5" t="inlineStr">
        <is>
          <t>Electrical</t>
        </is>
      </c>
      <c r="C426" s="5" t="inlineStr">
        <is>
          <t>MSM Group LLC</t>
        </is>
      </c>
      <c r="D426" s="5" t="inlineStr">
        <is>
          <t>Trader/Distributor</t>
        </is>
      </c>
      <c r="E426" s="5" t="inlineStr">
        <is>
          <t>Mongolia</t>
        </is>
      </c>
      <c r="F426" s="5" t="n">
        <v>2025</v>
      </c>
      <c r="G426" s="5" t="n">
        <v>1</v>
      </c>
      <c r="H426" s="7" t="n">
        <v>77.95999999999999</v>
      </c>
      <c r="I426" s="5" t="inlineStr">
        <is>
          <t>USD</t>
        </is>
      </c>
      <c r="J426" s="8">
        <f>IF($I426="AUD",Assumptions!$B$2,Assumptions!$B$3)</f>
        <v/>
      </c>
      <c r="K426" s="9">
        <f>$G426*$H426*$J426</f>
        <v/>
      </c>
      <c r="L426" s="9">
        <f>$K426*Assumptions!$B$4</f>
        <v/>
      </c>
      <c r="M426" s="9">
        <f>RawTx[[#This Row],[Value USD]]/RawTx[[#This Row],[Quantity]]</f>
        <v/>
      </c>
      <c r="N426" s="9">
        <f>RawTx[[#This Row],[Value IDR]]/RawTx[[#This Row],[Quantity]]</f>
        <v/>
      </c>
      <c r="O426" s="4" t="inlineStr">
        <is>
          <t>COVER,PROTEC DUST:LH LOWER</t>
        </is>
      </c>
      <c r="P426" s="5" t="inlineStr">
        <is>
          <t>NA</t>
        </is>
      </c>
      <c r="Q426" s="13" t="inlineStr">
        <is>
          <t>NA</t>
        </is>
      </c>
      <c r="R426" s="7" t="n">
        <v>0.72</v>
      </c>
      <c r="S426" s="7">
        <f>IFERROR($R426/$G426,"")</f>
        <v/>
      </c>
      <c r="T426" s="7" t="inlineStr">
        <is>
          <t>NA</t>
        </is>
      </c>
      <c r="U426" s="7" t="inlineStr">
        <is>
          <t>NA</t>
        </is>
      </c>
      <c r="V426" s="7" t="inlineStr">
        <is>
          <t>NA</t>
        </is>
      </c>
      <c r="W426" s="9">
        <f>IF(ISNUMBER($T426),$T426*$J426*Assumptions!$B$4,"NA")</f>
        <v/>
      </c>
      <c r="X426" s="9">
        <f>IF(ISNUMBER($U426),$U426*$J426*Assumptions!$B$4,"NA")</f>
        <v/>
      </c>
      <c r="Y426" s="9">
        <f>IF(ISNUMBER($V426),$V426*$J426*Assumptions!$B$4,"NA")</f>
        <v/>
      </c>
    </row>
    <row r="427">
      <c r="A427" s="5" t="inlineStr">
        <is>
          <t>SSB Parts</t>
        </is>
      </c>
      <c r="B427" s="5" t="inlineStr">
        <is>
          <t>Electrical</t>
        </is>
      </c>
      <c r="C427" s="5" t="inlineStr">
        <is>
          <t>MSM Group LLC</t>
        </is>
      </c>
      <c r="D427" s="5" t="inlineStr">
        <is>
          <t>Trader/Distributor</t>
        </is>
      </c>
      <c r="E427" s="5" t="inlineStr">
        <is>
          <t>Mongolia</t>
        </is>
      </c>
      <c r="F427" s="5" t="n">
        <v>2025</v>
      </c>
      <c r="G427" s="5" t="n">
        <v>8</v>
      </c>
      <c r="H427" s="7" t="n">
        <v>8.52</v>
      </c>
      <c r="I427" s="5" t="inlineStr">
        <is>
          <t>USD</t>
        </is>
      </c>
      <c r="J427" s="8">
        <f>IF($I427="AUD",Assumptions!$B$2,Assumptions!$B$3)</f>
        <v/>
      </c>
      <c r="K427" s="9">
        <f>$G427*$H427*$J427</f>
        <v/>
      </c>
      <c r="L427" s="9">
        <f>$K427*Assumptions!$B$4</f>
        <v/>
      </c>
      <c r="M427" s="9">
        <f>RawTx[[#This Row],[Value USD]]/RawTx[[#This Row],[Quantity]]</f>
        <v/>
      </c>
      <c r="N427" s="9">
        <f>RawTx[[#This Row],[Value IDR]]/RawTx[[#This Row],[Quantity]]</f>
        <v/>
      </c>
      <c r="O427" s="4" t="inlineStr">
        <is>
          <t>CONNECTOR:BULKHEAD;6MM TUBE;6MM TUBE</t>
        </is>
      </c>
      <c r="P427" s="5" t="inlineStr">
        <is>
          <t>NA</t>
        </is>
      </c>
      <c r="Q427" s="13" t="inlineStr">
        <is>
          <t>NA</t>
        </is>
      </c>
      <c r="R427" s="7" t="n">
        <v>2</v>
      </c>
      <c r="S427" s="7">
        <f>IFERROR($R427/$G427,"")</f>
        <v/>
      </c>
      <c r="T427" s="7" t="inlineStr">
        <is>
          <t>NA</t>
        </is>
      </c>
      <c r="U427" s="7" t="inlineStr">
        <is>
          <t>NA</t>
        </is>
      </c>
      <c r="V427" s="7" t="inlineStr">
        <is>
          <t>NA</t>
        </is>
      </c>
      <c r="W427" s="9">
        <f>IF(ISNUMBER($T427),$T427*$J427*Assumptions!$B$4,"NA")</f>
        <v/>
      </c>
      <c r="X427" s="9">
        <f>IF(ISNUMBER($U427),$U427*$J427*Assumptions!$B$4,"NA")</f>
        <v/>
      </c>
      <c r="Y427" s="9">
        <f>IF(ISNUMBER($V427),$V427*$J427*Assumptions!$B$4,"NA")</f>
        <v/>
      </c>
    </row>
    <row r="428">
      <c r="A428" s="5" t="inlineStr">
        <is>
          <t>SSB Parts</t>
        </is>
      </c>
      <c r="B428" s="5" t="inlineStr">
        <is>
          <t>Electrical</t>
        </is>
      </c>
      <c r="C428" s="5" t="inlineStr">
        <is>
          <t>MSM Group LLC</t>
        </is>
      </c>
      <c r="D428" s="5" t="inlineStr">
        <is>
          <t>Trader/Distributor</t>
        </is>
      </c>
      <c r="E428" s="5" t="inlineStr">
        <is>
          <t>Mongolia</t>
        </is>
      </c>
      <c r="F428" s="5" t="n">
        <v>2025</v>
      </c>
      <c r="G428" s="5" t="n">
        <v>2</v>
      </c>
      <c r="H428" s="7" t="n">
        <v>8.52</v>
      </c>
      <c r="I428" s="5" t="inlineStr">
        <is>
          <t>USD</t>
        </is>
      </c>
      <c r="J428" s="8">
        <f>IF($I428="AUD",Assumptions!$B$2,Assumptions!$B$3)</f>
        <v/>
      </c>
      <c r="K428" s="9">
        <f>$G428*$H428*$J428</f>
        <v/>
      </c>
      <c r="L428" s="9">
        <f>$K428*Assumptions!$B$4</f>
        <v/>
      </c>
      <c r="M428" s="9">
        <f>RawTx[[#This Row],[Value USD]]/RawTx[[#This Row],[Quantity]]</f>
        <v/>
      </c>
      <c r="N428" s="9">
        <f>RawTx[[#This Row],[Value IDR]]/RawTx[[#This Row],[Quantity]]</f>
        <v/>
      </c>
      <c r="O428" s="4" t="inlineStr">
        <is>
          <t>CONNECTOR:BULKHEAD;6MM TUBE;6MM TUBE</t>
        </is>
      </c>
      <c r="P428" s="5" t="inlineStr">
        <is>
          <t>NA</t>
        </is>
      </c>
      <c r="Q428" s="13" t="inlineStr">
        <is>
          <t>NA</t>
        </is>
      </c>
      <c r="R428" s="7" t="n">
        <v>1</v>
      </c>
      <c r="S428" s="7">
        <f>IFERROR($R428/$G428,"")</f>
        <v/>
      </c>
      <c r="T428" s="7" t="inlineStr">
        <is>
          <t>NA</t>
        </is>
      </c>
      <c r="U428" s="7" t="inlineStr">
        <is>
          <t>NA</t>
        </is>
      </c>
      <c r="V428" s="7" t="inlineStr">
        <is>
          <t>NA</t>
        </is>
      </c>
      <c r="W428" s="9">
        <f>IF(ISNUMBER($T428),$T428*$J428*Assumptions!$B$4,"NA")</f>
        <v/>
      </c>
      <c r="X428" s="9">
        <f>IF(ISNUMBER($U428),$U428*$J428*Assumptions!$B$4,"NA")</f>
        <v/>
      </c>
      <c r="Y428" s="9">
        <f>IF(ISNUMBER($V428),$V428*$J428*Assumptions!$B$4,"NA")</f>
        <v/>
      </c>
    </row>
    <row r="429">
      <c r="A429" s="5" t="inlineStr">
        <is>
          <t>SSB Parts</t>
        </is>
      </c>
      <c r="B429" s="5" t="inlineStr">
        <is>
          <t>Electrical</t>
        </is>
      </c>
      <c r="C429" s="5" t="inlineStr">
        <is>
          <t>MSM Group LLC</t>
        </is>
      </c>
      <c r="D429" s="5" t="inlineStr">
        <is>
          <t>Trader/Distributor</t>
        </is>
      </c>
      <c r="E429" s="5" t="inlineStr">
        <is>
          <t>Mongolia</t>
        </is>
      </c>
      <c r="F429" s="5" t="n">
        <v>2025</v>
      </c>
      <c r="G429" s="5" t="n">
        <v>2</v>
      </c>
      <c r="H429" s="7" t="n">
        <v>77.95999999999999</v>
      </c>
      <c r="I429" s="5" t="inlineStr">
        <is>
          <t>USD</t>
        </is>
      </c>
      <c r="J429" s="8">
        <f>IF($I429="AUD",Assumptions!$B$2,Assumptions!$B$3)</f>
        <v/>
      </c>
      <c r="K429" s="9">
        <f>$G429*$H429*$J429</f>
        <v/>
      </c>
      <c r="L429" s="9">
        <f>$K429*Assumptions!$B$4</f>
        <v/>
      </c>
      <c r="M429" s="9">
        <f>RawTx[[#This Row],[Value USD]]/RawTx[[#This Row],[Quantity]]</f>
        <v/>
      </c>
      <c r="N429" s="9">
        <f>RawTx[[#This Row],[Value IDR]]/RawTx[[#This Row],[Quantity]]</f>
        <v/>
      </c>
      <c r="O429" s="4" t="inlineStr">
        <is>
          <t>COVER,PROTEC DUST:LH UPPER</t>
        </is>
      </c>
      <c r="P429" s="5" t="inlineStr">
        <is>
          <t>NA</t>
        </is>
      </c>
      <c r="Q429" s="13" t="inlineStr">
        <is>
          <t>NA</t>
        </is>
      </c>
      <c r="R429" s="7" t="n">
        <v>1.43</v>
      </c>
      <c r="S429" s="7">
        <f>IFERROR($R429/$G429,"")</f>
        <v/>
      </c>
      <c r="T429" s="7" t="inlineStr">
        <is>
          <t>NA</t>
        </is>
      </c>
      <c r="U429" s="7" t="inlineStr">
        <is>
          <t>NA</t>
        </is>
      </c>
      <c r="V429" s="7" t="inlineStr">
        <is>
          <t>NA</t>
        </is>
      </c>
      <c r="W429" s="9">
        <f>IF(ISNUMBER($T429),$T429*$J429*Assumptions!$B$4,"NA")</f>
        <v/>
      </c>
      <c r="X429" s="9">
        <f>IF(ISNUMBER($U429),$U429*$J429*Assumptions!$B$4,"NA")</f>
        <v/>
      </c>
      <c r="Y429" s="9">
        <f>IF(ISNUMBER($V429),$V429*$J429*Assumptions!$B$4,"NA")</f>
        <v/>
      </c>
    </row>
    <row r="430">
      <c r="A430" s="5" t="inlineStr">
        <is>
          <t>SSB Parts</t>
        </is>
      </c>
      <c r="B430" s="5" t="inlineStr">
        <is>
          <t>Electrical</t>
        </is>
      </c>
      <c r="C430" s="5" t="inlineStr">
        <is>
          <t>MSM Group LLC</t>
        </is>
      </c>
      <c r="D430" s="5" t="inlineStr">
        <is>
          <t>Trader/Distributor</t>
        </is>
      </c>
      <c r="E430" s="5" t="inlineStr">
        <is>
          <t>Mongolia</t>
        </is>
      </c>
      <c r="F430" s="5" t="n">
        <v>2025</v>
      </c>
      <c r="G430" s="5" t="n">
        <v>3</v>
      </c>
      <c r="H430" s="7" t="n">
        <v>140</v>
      </c>
      <c r="I430" s="5" t="inlineStr">
        <is>
          <t>USD</t>
        </is>
      </c>
      <c r="J430" s="8">
        <f>IF($I430="AUD",Assumptions!$B$2,Assumptions!$B$3)</f>
        <v/>
      </c>
      <c r="K430" s="9">
        <f>$G430*$H430*$J430</f>
        <v/>
      </c>
      <c r="L430" s="9">
        <f>$K430*Assumptions!$B$4</f>
        <v/>
      </c>
      <c r="M430" s="9">
        <f>RawTx[[#This Row],[Value USD]]/RawTx[[#This Row],[Quantity]]</f>
        <v/>
      </c>
      <c r="N430" s="9">
        <f>RawTx[[#This Row],[Value IDR]]/RawTx[[#This Row],[Quantity]]</f>
        <v/>
      </c>
      <c r="O430" s="4" t="inlineStr">
        <is>
          <t>BREATHER:PA;10 MIC;ANTI-SPLASH;1/2IN BSP</t>
        </is>
      </c>
      <c r="P430" s="5" t="inlineStr">
        <is>
          <t>NA</t>
        </is>
      </c>
      <c r="Q430" s="13" t="inlineStr">
        <is>
          <t>NA</t>
        </is>
      </c>
      <c r="R430" s="7" t="n">
        <v>1</v>
      </c>
      <c r="S430" s="7">
        <f>IFERROR($R430/$G430,"")</f>
        <v/>
      </c>
      <c r="T430" s="7" t="inlineStr">
        <is>
          <t>NA</t>
        </is>
      </c>
      <c r="U430" s="7" t="inlineStr">
        <is>
          <t>NA</t>
        </is>
      </c>
      <c r="V430" s="7" t="inlineStr">
        <is>
          <t>NA</t>
        </is>
      </c>
      <c r="W430" s="9">
        <f>IF(ISNUMBER($T430),$T430*$J430*Assumptions!$B$4,"NA")</f>
        <v/>
      </c>
      <c r="X430" s="9">
        <f>IF(ISNUMBER($U430),$U430*$J430*Assumptions!$B$4,"NA")</f>
        <v/>
      </c>
      <c r="Y430" s="9">
        <f>IF(ISNUMBER($V430),$V430*$J430*Assumptions!$B$4,"NA")</f>
        <v/>
      </c>
    </row>
    <row r="431">
      <c r="A431" s="5" t="inlineStr">
        <is>
          <t>SSB Parts</t>
        </is>
      </c>
      <c r="B431" s="5" t="inlineStr">
        <is>
          <t>Electrical</t>
        </is>
      </c>
      <c r="C431" s="5" t="inlineStr">
        <is>
          <t>MSM Group LLC</t>
        </is>
      </c>
      <c r="D431" s="5" t="inlineStr">
        <is>
          <t>Trader/Distributor</t>
        </is>
      </c>
      <c r="E431" s="5" t="inlineStr">
        <is>
          <t>Mongolia</t>
        </is>
      </c>
      <c r="F431" s="5" t="n">
        <v>2025</v>
      </c>
      <c r="G431" s="5" t="n">
        <v>5</v>
      </c>
      <c r="H431" s="7" t="n">
        <v>140</v>
      </c>
      <c r="I431" s="5" t="inlineStr">
        <is>
          <t>USD</t>
        </is>
      </c>
      <c r="J431" s="8">
        <f>IF($I431="AUD",Assumptions!$B$2,Assumptions!$B$3)</f>
        <v/>
      </c>
      <c r="K431" s="9">
        <f>$G431*$H431*$J431</f>
        <v/>
      </c>
      <c r="L431" s="9">
        <f>$K431*Assumptions!$B$4</f>
        <v/>
      </c>
      <c r="M431" s="9">
        <f>RawTx[[#This Row],[Value USD]]/RawTx[[#This Row],[Quantity]]</f>
        <v/>
      </c>
      <c r="N431" s="9">
        <f>RawTx[[#This Row],[Value IDR]]/RawTx[[#This Row],[Quantity]]</f>
        <v/>
      </c>
      <c r="O431" s="4" t="inlineStr">
        <is>
          <t>BREATHER:PA;10 MIC;ANTI-SPLASH;1/2IN BSP</t>
        </is>
      </c>
      <c r="P431" s="5" t="inlineStr">
        <is>
          <t>NA</t>
        </is>
      </c>
      <c r="Q431" s="13" t="inlineStr">
        <is>
          <t>NA</t>
        </is>
      </c>
      <c r="R431" s="7" t="n">
        <v>1</v>
      </c>
      <c r="S431" s="7">
        <f>IFERROR($R431/$G431,"")</f>
        <v/>
      </c>
      <c r="T431" s="7" t="inlineStr">
        <is>
          <t>NA</t>
        </is>
      </c>
      <c r="U431" s="7" t="inlineStr">
        <is>
          <t>NA</t>
        </is>
      </c>
      <c r="V431" s="7" t="inlineStr">
        <is>
          <t>NA</t>
        </is>
      </c>
      <c r="W431" s="9">
        <f>IF(ISNUMBER($T431),$T431*$J431*Assumptions!$B$4,"NA")</f>
        <v/>
      </c>
      <c r="X431" s="9">
        <f>IF(ISNUMBER($U431),$U431*$J431*Assumptions!$B$4,"NA")</f>
        <v/>
      </c>
      <c r="Y431" s="9">
        <f>IF(ISNUMBER($V431),$V431*$J431*Assumptions!$B$4,"NA")</f>
        <v/>
      </c>
    </row>
    <row r="432">
      <c r="A432" s="5" t="inlineStr">
        <is>
          <t>SSB Parts</t>
        </is>
      </c>
      <c r="B432" s="5" t="inlineStr">
        <is>
          <t>Electrical</t>
        </is>
      </c>
      <c r="C432" s="5" t="inlineStr">
        <is>
          <t>MSM Group LLC</t>
        </is>
      </c>
      <c r="D432" s="5" t="inlineStr">
        <is>
          <t>Trader/Distributor</t>
        </is>
      </c>
      <c r="E432" s="5" t="inlineStr">
        <is>
          <t>Mongolia</t>
        </is>
      </c>
      <c r="F432" s="5" t="n">
        <v>2025</v>
      </c>
      <c r="G432" s="5" t="n">
        <v>2</v>
      </c>
      <c r="H432" s="7" t="n">
        <v>12.22</v>
      </c>
      <c r="I432" s="5" t="inlineStr">
        <is>
          <t>USD</t>
        </is>
      </c>
      <c r="J432" s="8">
        <f>IF($I432="AUD",Assumptions!$B$2,Assumptions!$B$3)</f>
        <v/>
      </c>
      <c r="K432" s="9">
        <f>$G432*$H432*$J432</f>
        <v/>
      </c>
      <c r="L432" s="9">
        <f>$K432*Assumptions!$B$4</f>
        <v/>
      </c>
      <c r="M432" s="9">
        <f>RawTx[[#This Row],[Value USD]]/RawTx[[#This Row],[Quantity]]</f>
        <v/>
      </c>
      <c r="N432" s="9">
        <f>RawTx[[#This Row],[Value IDR]]/RawTx[[#This Row],[Quantity]]</f>
        <v/>
      </c>
      <c r="O432" s="4" t="inlineStr">
        <is>
          <t>ADAPT,STR:KW2783-L;GOUGH</t>
        </is>
      </c>
      <c r="P432" s="5" t="inlineStr">
        <is>
          <t>NA</t>
        </is>
      </c>
      <c r="Q432" s="13" t="inlineStr">
        <is>
          <t>NA</t>
        </is>
      </c>
      <c r="R432" s="7" t="n">
        <v>0.41</v>
      </c>
      <c r="S432" s="7">
        <f>IFERROR($R432/$G432,"")</f>
        <v/>
      </c>
      <c r="T432" s="7" t="inlineStr">
        <is>
          <t>NA</t>
        </is>
      </c>
      <c r="U432" s="7" t="inlineStr">
        <is>
          <t>NA</t>
        </is>
      </c>
      <c r="V432" s="7" t="inlineStr">
        <is>
          <t>NA</t>
        </is>
      </c>
      <c r="W432" s="9">
        <f>IF(ISNUMBER($T432),$T432*$J432*Assumptions!$B$4,"NA")</f>
        <v/>
      </c>
      <c r="X432" s="9">
        <f>IF(ISNUMBER($U432),$U432*$J432*Assumptions!$B$4,"NA")</f>
        <v/>
      </c>
      <c r="Y432" s="9">
        <f>IF(ISNUMBER($V432),$V432*$J432*Assumptions!$B$4,"NA")</f>
        <v/>
      </c>
    </row>
    <row r="433">
      <c r="A433" s="5" t="inlineStr">
        <is>
          <t>SSB Parts</t>
        </is>
      </c>
      <c r="B433" s="5" t="inlineStr">
        <is>
          <t>Electrical</t>
        </is>
      </c>
      <c r="C433" s="5" t="inlineStr">
        <is>
          <t>MSM Group LLC</t>
        </is>
      </c>
      <c r="D433" s="5" t="inlineStr">
        <is>
          <t>Trader/Distributor</t>
        </is>
      </c>
      <c r="E433" s="5" t="inlineStr">
        <is>
          <t>Mongolia</t>
        </is>
      </c>
      <c r="F433" s="5" t="n">
        <v>2025</v>
      </c>
      <c r="G433" s="5" t="n">
        <v>5</v>
      </c>
      <c r="H433" s="7" t="n">
        <v>4.07</v>
      </c>
      <c r="I433" s="5" t="inlineStr">
        <is>
          <t>USD</t>
        </is>
      </c>
      <c r="J433" s="8">
        <f>IF($I433="AUD",Assumptions!$B$2,Assumptions!$B$3)</f>
        <v/>
      </c>
      <c r="K433" s="9">
        <f>$G433*$H433*$J433</f>
        <v/>
      </c>
      <c r="L433" s="9">
        <f>$K433*Assumptions!$B$4</f>
        <v/>
      </c>
      <c r="M433" s="9">
        <f>RawTx[[#This Row],[Value USD]]/RawTx[[#This Row],[Quantity]]</f>
        <v/>
      </c>
      <c r="N433" s="9">
        <f>RawTx[[#This Row],[Value IDR]]/RawTx[[#This Row],[Quantity]]</f>
        <v/>
      </c>
      <c r="O433" s="4" t="inlineStr">
        <is>
          <t>PLUG:HEX;L/81N;NPTM;232999;BENDIX</t>
        </is>
      </c>
      <c r="P433" s="5" t="inlineStr">
        <is>
          <t>NA</t>
        </is>
      </c>
      <c r="Q433" s="13" t="inlineStr">
        <is>
          <t>NA</t>
        </is>
      </c>
      <c r="R433" s="7" t="n">
        <v>0.25</v>
      </c>
      <c r="S433" s="7">
        <f>IFERROR($R433/$G433,"")</f>
        <v/>
      </c>
      <c r="T433" s="7" t="inlineStr">
        <is>
          <t>NA</t>
        </is>
      </c>
      <c r="U433" s="7" t="inlineStr">
        <is>
          <t>NA</t>
        </is>
      </c>
      <c r="V433" s="7" t="inlineStr">
        <is>
          <t>NA</t>
        </is>
      </c>
      <c r="W433" s="9">
        <f>IF(ISNUMBER($T433),$T433*$J433*Assumptions!$B$4,"NA")</f>
        <v/>
      </c>
      <c r="X433" s="9">
        <f>IF(ISNUMBER($U433),$U433*$J433*Assumptions!$B$4,"NA")</f>
        <v/>
      </c>
      <c r="Y433" s="9">
        <f>IF(ISNUMBER($V433),$V433*$J433*Assumptions!$B$4,"NA")</f>
        <v/>
      </c>
    </row>
    <row r="434">
      <c r="A434" s="5" t="inlineStr">
        <is>
          <t>SSB Parts</t>
        </is>
      </c>
      <c r="B434" s="5" t="inlineStr">
        <is>
          <t>Electrical</t>
        </is>
      </c>
      <c r="C434" s="5" t="inlineStr">
        <is>
          <t>MSM Group LLC</t>
        </is>
      </c>
      <c r="D434" s="5" t="inlineStr">
        <is>
          <t>Trader/Distributor</t>
        </is>
      </c>
      <c r="E434" s="5" t="inlineStr">
        <is>
          <t>Mongolia</t>
        </is>
      </c>
      <c r="F434" s="5" t="n">
        <v>2025</v>
      </c>
      <c r="G434" s="5" t="n">
        <v>2</v>
      </c>
      <c r="H434" s="7" t="n">
        <v>4.07</v>
      </c>
      <c r="I434" s="5" t="inlineStr">
        <is>
          <t>USD</t>
        </is>
      </c>
      <c r="J434" s="8">
        <f>IF($I434="AUD",Assumptions!$B$2,Assumptions!$B$3)</f>
        <v/>
      </c>
      <c r="K434" s="9">
        <f>$G434*$H434*$J434</f>
        <v/>
      </c>
      <c r="L434" s="9">
        <f>$K434*Assumptions!$B$4</f>
        <v/>
      </c>
      <c r="M434" s="9">
        <f>RawTx[[#This Row],[Value USD]]/RawTx[[#This Row],[Quantity]]</f>
        <v/>
      </c>
      <c r="N434" s="9">
        <f>RawTx[[#This Row],[Value IDR]]/RawTx[[#This Row],[Quantity]]</f>
        <v/>
      </c>
      <c r="O434" s="4" t="inlineStr">
        <is>
          <t>ADAPT,STR:C51601;GOUGH</t>
        </is>
      </c>
      <c r="P434" s="5" t="inlineStr">
        <is>
          <t>NA</t>
        </is>
      </c>
      <c r="Q434" s="13" t="inlineStr">
        <is>
          <t>NA</t>
        </is>
      </c>
      <c r="R434" s="7" t="n">
        <v>0.14</v>
      </c>
      <c r="S434" s="7">
        <f>IFERROR($R434/$G434,"")</f>
        <v/>
      </c>
      <c r="T434" s="7" t="inlineStr">
        <is>
          <t>NA</t>
        </is>
      </c>
      <c r="U434" s="7" t="inlineStr">
        <is>
          <t>NA</t>
        </is>
      </c>
      <c r="V434" s="7" t="inlineStr">
        <is>
          <t>NA</t>
        </is>
      </c>
      <c r="W434" s="9">
        <f>IF(ISNUMBER($T434),$T434*$J434*Assumptions!$B$4,"NA")</f>
        <v/>
      </c>
      <c r="X434" s="9">
        <f>IF(ISNUMBER($U434),$U434*$J434*Assumptions!$B$4,"NA")</f>
        <v/>
      </c>
      <c r="Y434" s="9">
        <f>IF(ISNUMBER($V434),$V434*$J434*Assumptions!$B$4,"NA")</f>
        <v/>
      </c>
    </row>
    <row r="435">
      <c r="A435" s="5" t="inlineStr">
        <is>
          <t>SSB Parts</t>
        </is>
      </c>
      <c r="B435" s="5" t="inlineStr">
        <is>
          <t>Electrical</t>
        </is>
      </c>
      <c r="C435" s="5" t="inlineStr">
        <is>
          <t>MSM Group LLC</t>
        </is>
      </c>
      <c r="D435" s="5" t="inlineStr">
        <is>
          <t>Trader/Distributor</t>
        </is>
      </c>
      <c r="E435" s="5" t="inlineStr">
        <is>
          <t>Mongolia</t>
        </is>
      </c>
      <c r="F435" s="5" t="n">
        <v>2025</v>
      </c>
      <c r="G435" s="5" t="n">
        <v>2</v>
      </c>
      <c r="H435" s="7" t="n">
        <v>30.55</v>
      </c>
      <c r="I435" s="5" t="inlineStr">
        <is>
          <t>USD</t>
        </is>
      </c>
      <c r="J435" s="8">
        <f>IF($I435="AUD",Assumptions!$B$2,Assumptions!$B$3)</f>
        <v/>
      </c>
      <c r="K435" s="9">
        <f>$G435*$H435*$J435</f>
        <v/>
      </c>
      <c r="L435" s="9">
        <f>$K435*Assumptions!$B$4</f>
        <v/>
      </c>
      <c r="M435" s="9">
        <f>RawTx[[#This Row],[Value USD]]/RawTx[[#This Row],[Quantity]]</f>
        <v/>
      </c>
      <c r="N435" s="9">
        <f>RawTx[[#This Row],[Value IDR]]/RawTx[[#This Row],[Quantity]]</f>
        <v/>
      </c>
      <c r="O435" s="4" t="inlineStr">
        <is>
          <t>ADAPT,STR:C52003;GOUGH</t>
        </is>
      </c>
      <c r="P435" s="5" t="inlineStr">
        <is>
          <t>NA</t>
        </is>
      </c>
      <c r="Q435" s="13" t="inlineStr">
        <is>
          <t>NA</t>
        </is>
      </c>
      <c r="R435" s="7" t="n">
        <v>1.03</v>
      </c>
      <c r="S435" s="7">
        <f>IFERROR($R435/$G435,"")</f>
        <v/>
      </c>
      <c r="T435" s="7" t="inlineStr">
        <is>
          <t>NA</t>
        </is>
      </c>
      <c r="U435" s="7" t="inlineStr">
        <is>
          <t>NA</t>
        </is>
      </c>
      <c r="V435" s="7" t="inlineStr">
        <is>
          <t>NA</t>
        </is>
      </c>
      <c r="W435" s="9">
        <f>IF(ISNUMBER($T435),$T435*$J435*Assumptions!$B$4,"NA")</f>
        <v/>
      </c>
      <c r="X435" s="9">
        <f>IF(ISNUMBER($U435),$U435*$J435*Assumptions!$B$4,"NA")</f>
        <v/>
      </c>
      <c r="Y435" s="9">
        <f>IF(ISNUMBER($V435),$V435*$J435*Assumptions!$B$4,"NA")</f>
        <v/>
      </c>
    </row>
    <row r="436">
      <c r="A436" s="5" t="inlineStr">
        <is>
          <t>SSB Parts</t>
        </is>
      </c>
      <c r="B436" s="5" t="inlineStr">
        <is>
          <t>Electrical</t>
        </is>
      </c>
      <c r="C436" s="5" t="inlineStr">
        <is>
          <t>MSM Group LLC</t>
        </is>
      </c>
      <c r="D436" s="5" t="inlineStr">
        <is>
          <t>Trader/Distributor</t>
        </is>
      </c>
      <c r="E436" s="5" t="inlineStr">
        <is>
          <t>Mongolia</t>
        </is>
      </c>
      <c r="F436" s="5" t="n">
        <v>2025</v>
      </c>
      <c r="G436" s="5" t="n">
        <v>9</v>
      </c>
      <c r="H436" s="7" t="n">
        <v>1.77</v>
      </c>
      <c r="I436" s="5" t="inlineStr">
        <is>
          <t>USD</t>
        </is>
      </c>
      <c r="J436" s="8">
        <f>IF($I436="AUD",Assumptions!$B$2,Assumptions!$B$3)</f>
        <v/>
      </c>
      <c r="K436" s="9">
        <f>$G436*$H436*$J436</f>
        <v/>
      </c>
      <c r="L436" s="9">
        <f>$K436*Assumptions!$B$4</f>
        <v/>
      </c>
      <c r="M436" s="9">
        <f>RawTx[[#This Row],[Value USD]]/RawTx[[#This Row],[Quantity]]</f>
        <v/>
      </c>
      <c r="N436" s="9">
        <f>RawTx[[#This Row],[Value IDR]]/RawTx[[#This Row],[Quantity]]</f>
        <v/>
      </c>
      <c r="O436" s="4" t="inlineStr">
        <is>
          <t>RING,RETAIN:EXT;45.8MM;56MM;2MM</t>
        </is>
      </c>
      <c r="P436" s="5" t="inlineStr">
        <is>
          <t>NA</t>
        </is>
      </c>
      <c r="Q436" s="13" t="inlineStr">
        <is>
          <t>NA</t>
        </is>
      </c>
      <c r="R436" s="7" t="n">
        <v>0.11</v>
      </c>
      <c r="S436" s="7">
        <f>IFERROR($R436/$G436,"")</f>
        <v/>
      </c>
      <c r="T436" s="7" t="inlineStr">
        <is>
          <t>NA</t>
        </is>
      </c>
      <c r="U436" s="7" t="inlineStr">
        <is>
          <t>NA</t>
        </is>
      </c>
      <c r="V436" s="7" t="inlineStr">
        <is>
          <t>NA</t>
        </is>
      </c>
      <c r="W436" s="9">
        <f>IF(ISNUMBER($T436),$T436*$J436*Assumptions!$B$4,"NA")</f>
        <v/>
      </c>
      <c r="X436" s="9">
        <f>IF(ISNUMBER($U436),$U436*$J436*Assumptions!$B$4,"NA")</f>
        <v/>
      </c>
      <c r="Y436" s="9">
        <f>IF(ISNUMBER($V436),$V436*$J436*Assumptions!$B$4,"NA")</f>
        <v/>
      </c>
    </row>
    <row r="437">
      <c r="A437" s="5" t="inlineStr">
        <is>
          <t>SSB Parts</t>
        </is>
      </c>
      <c r="B437" s="5" t="inlineStr">
        <is>
          <t>Electrical</t>
        </is>
      </c>
      <c r="C437" s="5" t="inlineStr">
        <is>
          <t>MSM Group LLC</t>
        </is>
      </c>
      <c r="D437" s="5" t="inlineStr">
        <is>
          <t>Trader/Distributor</t>
        </is>
      </c>
      <c r="E437" s="5" t="inlineStr">
        <is>
          <t>Mongolia</t>
        </is>
      </c>
      <c r="F437" s="5" t="n">
        <v>2025</v>
      </c>
      <c r="G437" s="5" t="n">
        <v>2</v>
      </c>
      <c r="H437" s="7" t="n">
        <v>257.41</v>
      </c>
      <c r="I437" s="5" t="inlineStr">
        <is>
          <t>USD</t>
        </is>
      </c>
      <c r="J437" s="8">
        <f>IF($I437="AUD",Assumptions!$B$2,Assumptions!$B$3)</f>
        <v/>
      </c>
      <c r="K437" s="9">
        <f>$G437*$H437*$J437</f>
        <v/>
      </c>
      <c r="L437" s="9">
        <f>$K437*Assumptions!$B$4</f>
        <v/>
      </c>
      <c r="M437" s="9">
        <f>RawTx[[#This Row],[Value USD]]/RawTx[[#This Row],[Quantity]]</f>
        <v/>
      </c>
      <c r="N437" s="9">
        <f>RawTx[[#This Row],[Value IDR]]/RawTx[[#This Row],[Quantity]]</f>
        <v/>
      </c>
      <c r="O437" s="4" t="inlineStr">
        <is>
          <t>VALVE,BRAKEPNEUMATIC:275176;BENDIX</t>
        </is>
      </c>
      <c r="P437" s="5" t="inlineStr">
        <is>
          <t>NA</t>
        </is>
      </c>
      <c r="Q437" s="13" t="inlineStr">
        <is>
          <t>NA</t>
        </is>
      </c>
      <c r="R437" s="7" t="n">
        <v>8.720000000000001</v>
      </c>
      <c r="S437" s="7">
        <f>IFERROR($R437/$G437,"")</f>
        <v/>
      </c>
      <c r="T437" s="7" t="inlineStr">
        <is>
          <t>NA</t>
        </is>
      </c>
      <c r="U437" s="7" t="inlineStr">
        <is>
          <t>NA</t>
        </is>
      </c>
      <c r="V437" s="7" t="inlineStr">
        <is>
          <t>NA</t>
        </is>
      </c>
      <c r="W437" s="9">
        <f>IF(ISNUMBER($T437),$T437*$J437*Assumptions!$B$4,"NA")</f>
        <v/>
      </c>
      <c r="X437" s="9">
        <f>IF(ISNUMBER($U437),$U437*$J437*Assumptions!$B$4,"NA")</f>
        <v/>
      </c>
      <c r="Y437" s="9">
        <f>IF(ISNUMBER($V437),$V437*$J437*Assumptions!$B$4,"NA")</f>
        <v/>
      </c>
    </row>
    <row r="438">
      <c r="A438" s="5" t="inlineStr">
        <is>
          <t>SSB Parts</t>
        </is>
      </c>
      <c r="B438" s="5" t="inlineStr">
        <is>
          <t>Electrical</t>
        </is>
      </c>
      <c r="C438" s="5" t="inlineStr">
        <is>
          <t>MSM Group LLC</t>
        </is>
      </c>
      <c r="D438" s="5" t="inlineStr">
        <is>
          <t>Trader/Distributor</t>
        </is>
      </c>
      <c r="E438" s="5" t="inlineStr">
        <is>
          <t>Mongolia</t>
        </is>
      </c>
      <c r="F438" s="5" t="n">
        <v>2025</v>
      </c>
      <c r="G438" s="5" t="n">
        <v>16</v>
      </c>
      <c r="H438" s="7" t="n">
        <v>0.42</v>
      </c>
      <c r="I438" s="5" t="inlineStr">
        <is>
          <t>USD</t>
        </is>
      </c>
      <c r="J438" s="8">
        <f>IF($I438="AUD",Assumptions!$B$2,Assumptions!$B$3)</f>
        <v/>
      </c>
      <c r="K438" s="9">
        <f>$G438*$H438*$J438</f>
        <v/>
      </c>
      <c r="L438" s="9">
        <f>$K438*Assumptions!$B$4</f>
        <v/>
      </c>
      <c r="M438" s="9">
        <f>RawTx[[#This Row],[Value USD]]/RawTx[[#This Row],[Quantity]]</f>
        <v/>
      </c>
      <c r="N438" s="9">
        <f>RawTx[[#This Row],[Value IDR]]/RawTx[[#This Row],[Quantity]]</f>
        <v/>
      </c>
      <c r="O438" s="4" t="inlineStr">
        <is>
          <t>WASHER:FLAT;10.9;M12;24MM;2.5MM;ZP</t>
        </is>
      </c>
      <c r="P438" s="5" t="inlineStr">
        <is>
          <t>NA</t>
        </is>
      </c>
      <c r="Q438" s="13" t="inlineStr">
        <is>
          <t>NA</t>
        </is>
      </c>
      <c r="R438" s="7" t="n">
        <v>0.05</v>
      </c>
      <c r="S438" s="7">
        <f>IFERROR($R438/$G438,"")</f>
        <v/>
      </c>
      <c r="T438" s="7" t="inlineStr">
        <is>
          <t>NA</t>
        </is>
      </c>
      <c r="U438" s="7" t="inlineStr">
        <is>
          <t>NA</t>
        </is>
      </c>
      <c r="V438" s="7" t="inlineStr">
        <is>
          <t>NA</t>
        </is>
      </c>
      <c r="W438" s="9">
        <f>IF(ISNUMBER($T438),$T438*$J438*Assumptions!$B$4,"NA")</f>
        <v/>
      </c>
      <c r="X438" s="9">
        <f>IF(ISNUMBER($U438),$U438*$J438*Assumptions!$B$4,"NA")</f>
        <v/>
      </c>
      <c r="Y438" s="9">
        <f>IF(ISNUMBER($V438),$V438*$J438*Assumptions!$B$4,"NA")</f>
        <v/>
      </c>
    </row>
    <row r="439">
      <c r="A439" s="5" t="inlineStr">
        <is>
          <t>SSB Parts</t>
        </is>
      </c>
      <c r="B439" s="5" t="inlineStr">
        <is>
          <t>Electrical</t>
        </is>
      </c>
      <c r="C439" s="5" t="inlineStr">
        <is>
          <t>MSM Group LLC</t>
        </is>
      </c>
      <c r="D439" s="5" t="inlineStr">
        <is>
          <t>Trader/Distributor</t>
        </is>
      </c>
      <c r="E439" s="5" t="inlineStr">
        <is>
          <t>Mongolia</t>
        </is>
      </c>
      <c r="F439" s="5" t="n">
        <v>2025</v>
      </c>
      <c r="G439" s="5" t="n">
        <v>2</v>
      </c>
      <c r="H439" s="7" t="n">
        <v>8.15</v>
      </c>
      <c r="I439" s="5" t="inlineStr">
        <is>
          <t>USD</t>
        </is>
      </c>
      <c r="J439" s="8">
        <f>IF($I439="AUD",Assumptions!$B$2,Assumptions!$B$3)</f>
        <v/>
      </c>
      <c r="K439" s="9">
        <f>$G439*$H439*$J439</f>
        <v/>
      </c>
      <c r="L439" s="9">
        <f>$K439*Assumptions!$B$4</f>
        <v/>
      </c>
      <c r="M439" s="9">
        <f>RawTx[[#This Row],[Value USD]]/RawTx[[#This Row],[Quantity]]</f>
        <v/>
      </c>
      <c r="N439" s="9">
        <f>RawTx[[#This Row],[Value IDR]]/RawTx[[#This Row],[Quantity]]</f>
        <v/>
      </c>
      <c r="O439" s="4" t="inlineStr">
        <is>
          <t>CLAMP,HOSE:C51186;GOUGH</t>
        </is>
      </c>
      <c r="P439" s="5" t="inlineStr">
        <is>
          <t>NA</t>
        </is>
      </c>
      <c r="Q439" s="13" t="inlineStr">
        <is>
          <t>NA</t>
        </is>
      </c>
      <c r="R439" s="7" t="n">
        <v>0.28</v>
      </c>
      <c r="S439" s="7">
        <f>IFERROR($R439/$G439,"")</f>
        <v/>
      </c>
      <c r="T439" s="7" t="inlineStr">
        <is>
          <t>NA</t>
        </is>
      </c>
      <c r="U439" s="7" t="inlineStr">
        <is>
          <t>NA</t>
        </is>
      </c>
      <c r="V439" s="7" t="inlineStr">
        <is>
          <t>NA</t>
        </is>
      </c>
      <c r="W439" s="9">
        <f>IF(ISNUMBER($T439),$T439*$J439*Assumptions!$B$4,"NA")</f>
        <v/>
      </c>
      <c r="X439" s="9">
        <f>IF(ISNUMBER($U439),$U439*$J439*Assumptions!$B$4,"NA")</f>
        <v/>
      </c>
      <c r="Y439" s="9">
        <f>IF(ISNUMBER($V439),$V439*$J439*Assumptions!$B$4,"NA")</f>
        <v/>
      </c>
    </row>
    <row r="440">
      <c r="A440" s="5" t="inlineStr">
        <is>
          <t>SSB Parts</t>
        </is>
      </c>
      <c r="B440" s="5" t="inlineStr">
        <is>
          <t>Electrical</t>
        </is>
      </c>
      <c r="C440" s="5" t="inlineStr">
        <is>
          <t>MSM Group LLC</t>
        </is>
      </c>
      <c r="D440" s="5" t="inlineStr">
        <is>
          <t>Trader/Distributor</t>
        </is>
      </c>
      <c r="E440" s="5" t="inlineStr">
        <is>
          <t>Mongolia</t>
        </is>
      </c>
      <c r="F440" s="5" t="n">
        <v>2025</v>
      </c>
      <c r="G440" s="5" t="n">
        <v>16</v>
      </c>
      <c r="H440" s="7" t="n">
        <v>0.06</v>
      </c>
      <c r="I440" s="5" t="inlineStr">
        <is>
          <t>USD</t>
        </is>
      </c>
      <c r="J440" s="8">
        <f>IF($I440="AUD",Assumptions!$B$2,Assumptions!$B$3)</f>
        <v/>
      </c>
      <c r="K440" s="9">
        <f>$G440*$H440*$J440</f>
        <v/>
      </c>
      <c r="L440" s="9">
        <f>$K440*Assumptions!$B$4</f>
        <v/>
      </c>
      <c r="M440" s="9">
        <f>RawTx[[#This Row],[Value USD]]/RawTx[[#This Row],[Quantity]]</f>
        <v/>
      </c>
      <c r="N440" s="9">
        <f>RawTx[[#This Row],[Value IDR]]/RawTx[[#This Row],[Quantity]]</f>
        <v/>
      </c>
      <c r="O440" s="4" t="inlineStr">
        <is>
          <t>NUT HEX:NYLOC;4.6;M4;0.7TP;ZP</t>
        </is>
      </c>
      <c r="P440" s="5" t="inlineStr">
        <is>
          <t>NA</t>
        </is>
      </c>
      <c r="Q440" s="13" t="inlineStr">
        <is>
          <t>NA</t>
        </is>
      </c>
      <c r="R440" s="7" t="n">
        <v>0.01</v>
      </c>
      <c r="S440" s="7">
        <f>IFERROR($R440/$G440,"")</f>
        <v/>
      </c>
      <c r="T440" s="7" t="inlineStr">
        <is>
          <t>NA</t>
        </is>
      </c>
      <c r="U440" s="7" t="inlineStr">
        <is>
          <t>NA</t>
        </is>
      </c>
      <c r="V440" s="7" t="inlineStr">
        <is>
          <t>NA</t>
        </is>
      </c>
      <c r="W440" s="9">
        <f>IF(ISNUMBER($T440),$T440*$J440*Assumptions!$B$4,"NA")</f>
        <v/>
      </c>
      <c r="X440" s="9">
        <f>IF(ISNUMBER($U440),$U440*$J440*Assumptions!$B$4,"NA")</f>
        <v/>
      </c>
      <c r="Y440" s="9">
        <f>IF(ISNUMBER($V440),$V440*$J440*Assumptions!$B$4,"NA")</f>
        <v/>
      </c>
    </row>
    <row r="441">
      <c r="A441" s="5" t="inlineStr">
        <is>
          <t>SSB Parts</t>
        </is>
      </c>
      <c r="B441" s="5" t="inlineStr">
        <is>
          <t>Electrical</t>
        </is>
      </c>
      <c r="C441" s="5" t="inlineStr">
        <is>
          <t>MSM Group LLC</t>
        </is>
      </c>
      <c r="D441" s="5" t="inlineStr">
        <is>
          <t>Trader/Distributor</t>
        </is>
      </c>
      <c r="E441" s="5" t="inlineStr">
        <is>
          <t>Mongolia</t>
        </is>
      </c>
      <c r="F441" s="5" t="n">
        <v>2025</v>
      </c>
      <c r="G441" s="5" t="n">
        <v>6</v>
      </c>
      <c r="H441" s="7" t="n">
        <v>14.71</v>
      </c>
      <c r="I441" s="5" t="inlineStr">
        <is>
          <t>USD</t>
        </is>
      </c>
      <c r="J441" s="8">
        <f>IF($I441="AUD",Assumptions!$B$2,Assumptions!$B$3)</f>
        <v/>
      </c>
      <c r="K441" s="9">
        <f>$G441*$H441*$J441</f>
        <v/>
      </c>
      <c r="L441" s="9">
        <f>$K441*Assumptions!$B$4</f>
        <v/>
      </c>
      <c r="M441" s="9">
        <f>RawTx[[#This Row],[Value USD]]/RawTx[[#This Row],[Quantity]]</f>
        <v/>
      </c>
      <c r="N441" s="9">
        <f>RawTx[[#This Row],[Value IDR]]/RawTx[[#This Row],[Quantity]]</f>
        <v/>
      </c>
      <c r="O441" s="4" t="inlineStr">
        <is>
          <t>CONDUIT,FLX:CORRUGATED;BK;15.5MM</t>
        </is>
      </c>
      <c r="P441" s="5" t="inlineStr">
        <is>
          <t>NA</t>
        </is>
      </c>
      <c r="Q441" s="13" t="inlineStr">
        <is>
          <t>NA</t>
        </is>
      </c>
      <c r="R441" s="7" t="n">
        <v>1.1</v>
      </c>
      <c r="S441" s="7">
        <f>IFERROR($R441/$G441,"")</f>
        <v/>
      </c>
      <c r="T441" s="7" t="inlineStr">
        <is>
          <t>NA</t>
        </is>
      </c>
      <c r="U441" s="7" t="inlineStr">
        <is>
          <t>NA</t>
        </is>
      </c>
      <c r="V441" s="7" t="inlineStr">
        <is>
          <t>NA</t>
        </is>
      </c>
      <c r="W441" s="9">
        <f>IF(ISNUMBER($T441),$T441*$J441*Assumptions!$B$4,"NA")</f>
        <v/>
      </c>
      <c r="X441" s="9">
        <f>IF(ISNUMBER($U441),$U441*$J441*Assumptions!$B$4,"NA")</f>
        <v/>
      </c>
      <c r="Y441" s="9">
        <f>IF(ISNUMBER($V441),$V441*$J441*Assumptions!$B$4,"NA")</f>
        <v/>
      </c>
    </row>
    <row r="442">
      <c r="A442" s="5" t="inlineStr">
        <is>
          <t>SSB Parts</t>
        </is>
      </c>
      <c r="B442" s="5" t="inlineStr">
        <is>
          <t>Electrical</t>
        </is>
      </c>
      <c r="C442" s="5" t="inlineStr">
        <is>
          <t>MSM Group LLC</t>
        </is>
      </c>
      <c r="D442" s="5" t="inlineStr">
        <is>
          <t>Trader/Distributor</t>
        </is>
      </c>
      <c r="E442" s="5" t="inlineStr">
        <is>
          <t>Mongolia</t>
        </is>
      </c>
      <c r="F442" s="5" t="n">
        <v>2025</v>
      </c>
      <c r="G442" s="5" t="n">
        <v>16</v>
      </c>
      <c r="H442" s="7" t="n">
        <v>7.27</v>
      </c>
      <c r="I442" s="5" t="inlineStr">
        <is>
          <t>USD</t>
        </is>
      </c>
      <c r="J442" s="8">
        <f>IF($I442="AUD",Assumptions!$B$2,Assumptions!$B$3)</f>
        <v/>
      </c>
      <c r="K442" s="9">
        <f>$G442*$H442*$J442</f>
        <v/>
      </c>
      <c r="L442" s="9">
        <f>$K442*Assumptions!$B$4</f>
        <v/>
      </c>
      <c r="M442" s="9">
        <f>RawTx[[#This Row],[Value USD]]/RawTx[[#This Row],[Quantity]]</f>
        <v/>
      </c>
      <c r="N442" s="9">
        <f>RawTx[[#This Row],[Value IDR]]/RawTx[[#This Row],[Quantity]]</f>
        <v/>
      </c>
      <c r="O442" s="4" t="inlineStr">
        <is>
          <t>CONNECTOR,AIR HOSE:PUSH IN;FESTO;QSY 6</t>
        </is>
      </c>
      <c r="P442" s="5" t="inlineStr">
        <is>
          <t>NA</t>
        </is>
      </c>
      <c r="Q442" s="13" t="inlineStr">
        <is>
          <t>NA</t>
        </is>
      </c>
      <c r="R442" s="7" t="n">
        <v>0.83</v>
      </c>
      <c r="S442" s="7">
        <f>IFERROR($R442/$G442,"")</f>
        <v/>
      </c>
      <c r="T442" s="7" t="inlineStr">
        <is>
          <t>NA</t>
        </is>
      </c>
      <c r="U442" s="7" t="inlineStr">
        <is>
          <t>NA</t>
        </is>
      </c>
      <c r="V442" s="7" t="inlineStr">
        <is>
          <t>NA</t>
        </is>
      </c>
      <c r="W442" s="9">
        <f>IF(ISNUMBER($T442),$T442*$J442*Assumptions!$B$4,"NA")</f>
        <v/>
      </c>
      <c r="X442" s="9">
        <f>IF(ISNUMBER($U442),$U442*$J442*Assumptions!$B$4,"NA")</f>
        <v/>
      </c>
      <c r="Y442" s="9">
        <f>IF(ISNUMBER($V442),$V442*$J442*Assumptions!$B$4,"NA")</f>
        <v/>
      </c>
    </row>
    <row r="443">
      <c r="A443" s="5" t="inlineStr">
        <is>
          <t>SSB Parts</t>
        </is>
      </c>
      <c r="B443" s="5" t="inlineStr">
        <is>
          <t>Electrical</t>
        </is>
      </c>
      <c r="C443" s="5" t="inlineStr">
        <is>
          <t>MSM Group LLC</t>
        </is>
      </c>
      <c r="D443" s="5" t="inlineStr">
        <is>
          <t>Trader/Distributor</t>
        </is>
      </c>
      <c r="E443" s="5" t="inlineStr">
        <is>
          <t>Mongolia</t>
        </is>
      </c>
      <c r="F443" s="5" t="n">
        <v>2025</v>
      </c>
      <c r="G443" s="5" t="n">
        <v>2</v>
      </c>
      <c r="H443" s="7" t="n">
        <v>8.15</v>
      </c>
      <c r="I443" s="5" t="inlineStr">
        <is>
          <t>USD</t>
        </is>
      </c>
      <c r="J443" s="8">
        <f>IF($I443="AUD",Assumptions!$B$2,Assumptions!$B$3)</f>
        <v/>
      </c>
      <c r="K443" s="9">
        <f>$G443*$H443*$J443</f>
        <v/>
      </c>
      <c r="L443" s="9">
        <f>$K443*Assumptions!$B$4</f>
        <v/>
      </c>
      <c r="M443" s="9">
        <f>RawTx[[#This Row],[Value USD]]/RawTx[[#This Row],[Quantity]]</f>
        <v/>
      </c>
      <c r="N443" s="9">
        <f>RawTx[[#This Row],[Value IDR]]/RawTx[[#This Row],[Quantity]]</f>
        <v/>
      </c>
      <c r="O443" s="4" t="inlineStr">
        <is>
          <t>ADAPTER:GP-571-080806;GOUGH</t>
        </is>
      </c>
      <c r="P443" s="5" t="inlineStr">
        <is>
          <t>NA</t>
        </is>
      </c>
      <c r="Q443" s="13" t="inlineStr">
        <is>
          <t>NA</t>
        </is>
      </c>
      <c r="R443" s="7" t="n">
        <v>0.28</v>
      </c>
      <c r="S443" s="7">
        <f>IFERROR($R443/$G443,"")</f>
        <v/>
      </c>
      <c r="T443" s="7" t="inlineStr">
        <is>
          <t>NA</t>
        </is>
      </c>
      <c r="U443" s="7" t="inlineStr">
        <is>
          <t>NA</t>
        </is>
      </c>
      <c r="V443" s="7" t="inlineStr">
        <is>
          <t>NA</t>
        </is>
      </c>
      <c r="W443" s="9">
        <f>IF(ISNUMBER($T443),$T443*$J443*Assumptions!$B$4,"NA")</f>
        <v/>
      </c>
      <c r="X443" s="9">
        <f>IF(ISNUMBER($U443),$U443*$J443*Assumptions!$B$4,"NA")</f>
        <v/>
      </c>
      <c r="Y443" s="9">
        <f>IF(ISNUMBER($V443),$V443*$J443*Assumptions!$B$4,"NA")</f>
        <v/>
      </c>
    </row>
    <row r="444">
      <c r="A444" s="5" t="inlineStr">
        <is>
          <t>SSB Parts</t>
        </is>
      </c>
      <c r="B444" s="5" t="inlineStr">
        <is>
          <t>Electrical</t>
        </is>
      </c>
      <c r="C444" s="5" t="inlineStr">
        <is>
          <t>MSM Group LLC</t>
        </is>
      </c>
      <c r="D444" s="5" t="inlineStr">
        <is>
          <t>Trader/Distributor</t>
        </is>
      </c>
      <c r="E444" s="5" t="inlineStr">
        <is>
          <t>Mongolia</t>
        </is>
      </c>
      <c r="F444" s="5" t="n">
        <v>2025</v>
      </c>
      <c r="G444" s="5" t="n">
        <v>2</v>
      </c>
      <c r="H444" s="7" t="n">
        <v>10.18</v>
      </c>
      <c r="I444" s="5" t="inlineStr">
        <is>
          <t>USD</t>
        </is>
      </c>
      <c r="J444" s="8">
        <f>IF($I444="AUD",Assumptions!$B$2,Assumptions!$B$3)</f>
        <v/>
      </c>
      <c r="K444" s="9">
        <f>$G444*$H444*$J444</f>
        <v/>
      </c>
      <c r="L444" s="9">
        <f>$K444*Assumptions!$B$4</f>
        <v/>
      </c>
      <c r="M444" s="9">
        <f>RawTx[[#This Row],[Value USD]]/RawTx[[#This Row],[Quantity]]</f>
        <v/>
      </c>
      <c r="N444" s="9">
        <f>RawTx[[#This Row],[Value IDR]]/RawTx[[#This Row],[Quantity]]</f>
        <v/>
      </c>
      <c r="O444" s="4" t="inlineStr">
        <is>
          <t>PLUG,PIPE:238807;GOUGH</t>
        </is>
      </c>
      <c r="P444" s="5" t="inlineStr">
        <is>
          <t>NA</t>
        </is>
      </c>
      <c r="Q444" s="13" t="inlineStr">
        <is>
          <t>NA</t>
        </is>
      </c>
      <c r="R444" s="7" t="n">
        <v>0.34</v>
      </c>
      <c r="S444" s="7">
        <f>IFERROR($R444/$G444,"")</f>
        <v/>
      </c>
      <c r="T444" s="7" t="inlineStr">
        <is>
          <t>NA</t>
        </is>
      </c>
      <c r="U444" s="7" t="inlineStr">
        <is>
          <t>NA</t>
        </is>
      </c>
      <c r="V444" s="7" t="inlineStr">
        <is>
          <t>NA</t>
        </is>
      </c>
      <c r="W444" s="9">
        <f>IF(ISNUMBER($T444),$T444*$J444*Assumptions!$B$4,"NA")</f>
        <v/>
      </c>
      <c r="X444" s="9">
        <f>IF(ISNUMBER($U444),$U444*$J444*Assumptions!$B$4,"NA")</f>
        <v/>
      </c>
      <c r="Y444" s="9">
        <f>IF(ISNUMBER($V444),$V444*$J444*Assumptions!$B$4,"NA")</f>
        <v/>
      </c>
    </row>
    <row r="445">
      <c r="A445" s="5" t="inlineStr">
        <is>
          <t>SSB Parts</t>
        </is>
      </c>
      <c r="B445" s="5" t="inlineStr">
        <is>
          <t>Electrical</t>
        </is>
      </c>
      <c r="C445" s="5" t="inlineStr">
        <is>
          <t>MSM Group LLC</t>
        </is>
      </c>
      <c r="D445" s="5" t="inlineStr">
        <is>
          <t>Trader/Distributor</t>
        </is>
      </c>
      <c r="E445" s="5" t="inlineStr">
        <is>
          <t>Mongolia</t>
        </is>
      </c>
      <c r="F445" s="5" t="n">
        <v>2025</v>
      </c>
      <c r="G445" s="5" t="n">
        <v>6</v>
      </c>
      <c r="H445" s="7" t="n">
        <v>8.59</v>
      </c>
      <c r="I445" s="5" t="inlineStr">
        <is>
          <t>USD</t>
        </is>
      </c>
      <c r="J445" s="8">
        <f>IF($I445="AUD",Assumptions!$B$2,Assumptions!$B$3)</f>
        <v/>
      </c>
      <c r="K445" s="9">
        <f>$G445*$H445*$J445</f>
        <v/>
      </c>
      <c r="L445" s="9">
        <f>$K445*Assumptions!$B$4</f>
        <v/>
      </c>
      <c r="M445" s="9">
        <f>RawTx[[#This Row],[Value USD]]/RawTx[[#This Row],[Quantity]]</f>
        <v/>
      </c>
      <c r="N445" s="9">
        <f>RawTx[[#This Row],[Value IDR]]/RawTx[[#This Row],[Quantity]]</f>
        <v/>
      </c>
      <c r="O445" s="4" t="inlineStr">
        <is>
          <t>GRIP,HANDLE:PC;28.6MM;6.6MM;2X BOLTS M6</t>
        </is>
      </c>
      <c r="P445" s="5" t="inlineStr">
        <is>
          <t>NA</t>
        </is>
      </c>
      <c r="Q445" s="13" t="inlineStr">
        <is>
          <t>NA</t>
        </is>
      </c>
      <c r="R445" s="7" t="n">
        <v>0.64</v>
      </c>
      <c r="S445" s="7">
        <f>IFERROR($R445/$G445,"")</f>
        <v/>
      </c>
      <c r="T445" s="7" t="inlineStr">
        <is>
          <t>NA</t>
        </is>
      </c>
      <c r="U445" s="7" t="inlineStr">
        <is>
          <t>NA</t>
        </is>
      </c>
      <c r="V445" s="7" t="inlineStr">
        <is>
          <t>NA</t>
        </is>
      </c>
      <c r="W445" s="9">
        <f>IF(ISNUMBER($T445),$T445*$J445*Assumptions!$B$4,"NA")</f>
        <v/>
      </c>
      <c r="X445" s="9">
        <f>IF(ISNUMBER($U445),$U445*$J445*Assumptions!$B$4,"NA")</f>
        <v/>
      </c>
      <c r="Y445" s="9">
        <f>IF(ISNUMBER($V445),$V445*$J445*Assumptions!$B$4,"NA")</f>
        <v/>
      </c>
    </row>
    <row r="446">
      <c r="A446" s="5" t="inlineStr">
        <is>
          <t>SSB Parts</t>
        </is>
      </c>
      <c r="B446" s="5" t="inlineStr">
        <is>
          <t>Electrical</t>
        </is>
      </c>
      <c r="C446" s="5" t="inlineStr">
        <is>
          <t>MSM Group LLC</t>
        </is>
      </c>
      <c r="D446" s="5" t="inlineStr">
        <is>
          <t>Trader/Distributor</t>
        </is>
      </c>
      <c r="E446" s="5" t="inlineStr">
        <is>
          <t>Mongolia</t>
        </is>
      </c>
      <c r="F446" s="5" t="n">
        <v>2025</v>
      </c>
      <c r="G446" s="5" t="n">
        <v>9</v>
      </c>
      <c r="H446" s="7" t="n">
        <v>47.47</v>
      </c>
      <c r="I446" s="5" t="inlineStr">
        <is>
          <t>USD</t>
        </is>
      </c>
      <c r="J446" s="8">
        <f>IF($I446="AUD",Assumptions!$B$2,Assumptions!$B$3)</f>
        <v/>
      </c>
      <c r="K446" s="9">
        <f>$G446*$H446*$J446</f>
        <v/>
      </c>
      <c r="L446" s="9">
        <f>$K446*Assumptions!$B$4</f>
        <v/>
      </c>
      <c r="M446" s="9">
        <f>RawTx[[#This Row],[Value USD]]/RawTx[[#This Row],[Quantity]]</f>
        <v/>
      </c>
      <c r="N446" s="9">
        <f>RawTx[[#This Row],[Value IDR]]/RawTx[[#This Row],[Quantity]]</f>
        <v/>
      </c>
      <c r="O446" s="4" t="inlineStr">
        <is>
          <t>PIN,LOCK:SB111870122</t>
        </is>
      </c>
      <c r="P446" s="5" t="inlineStr">
        <is>
          <t>NA</t>
        </is>
      </c>
      <c r="Q446" s="13" t="inlineStr">
        <is>
          <t>NA</t>
        </is>
      </c>
      <c r="R446" s="7" t="n">
        <v>33</v>
      </c>
      <c r="S446" s="7">
        <f>IFERROR($R446/$G446,"")</f>
        <v/>
      </c>
      <c r="T446" s="7" t="inlineStr">
        <is>
          <t>NA</t>
        </is>
      </c>
      <c r="U446" s="7" t="inlineStr">
        <is>
          <t>NA</t>
        </is>
      </c>
      <c r="V446" s="7" t="inlineStr">
        <is>
          <t>NA</t>
        </is>
      </c>
      <c r="W446" s="9">
        <f>IF(ISNUMBER($T446),$T446*$J446*Assumptions!$B$4,"NA")</f>
        <v/>
      </c>
      <c r="X446" s="9">
        <f>IF(ISNUMBER($U446),$U446*$J446*Assumptions!$B$4,"NA")</f>
        <v/>
      </c>
      <c r="Y446" s="9">
        <f>IF(ISNUMBER($V446),$V446*$J446*Assumptions!$B$4,"NA")</f>
        <v/>
      </c>
    </row>
    <row r="447">
      <c r="A447" s="5" t="inlineStr">
        <is>
          <t>SSB Parts</t>
        </is>
      </c>
      <c r="B447" s="5" t="inlineStr">
        <is>
          <t>Electrical</t>
        </is>
      </c>
      <c r="C447" s="5" t="inlineStr">
        <is>
          <t>MSM Group LLC</t>
        </is>
      </c>
      <c r="D447" s="5" t="inlineStr">
        <is>
          <t>Trader/Distributor</t>
        </is>
      </c>
      <c r="E447" s="5" t="inlineStr">
        <is>
          <t>Mongolia</t>
        </is>
      </c>
      <c r="F447" s="5" t="n">
        <v>2025</v>
      </c>
      <c r="G447" s="5" t="n">
        <v>5</v>
      </c>
      <c r="H447" s="7" t="n">
        <v>44.3</v>
      </c>
      <c r="I447" s="5" t="inlineStr">
        <is>
          <t>USD</t>
        </is>
      </c>
      <c r="J447" s="8">
        <f>IF($I447="AUD",Assumptions!$B$2,Assumptions!$B$3)</f>
        <v/>
      </c>
      <c r="K447" s="9">
        <f>$G447*$H447*$J447</f>
        <v/>
      </c>
      <c r="L447" s="9">
        <f>$K447*Assumptions!$B$4</f>
        <v/>
      </c>
      <c r="M447" s="9">
        <f>RawTx[[#This Row],[Value USD]]/RawTx[[#This Row],[Quantity]]</f>
        <v/>
      </c>
      <c r="N447" s="9">
        <f>RawTx[[#This Row],[Value IDR]]/RawTx[[#This Row],[Quantity]]</f>
        <v/>
      </c>
      <c r="O447" s="4" t="inlineStr">
        <is>
          <t>PLATE,DESIGN:BLOCK;SB5001057</t>
        </is>
      </c>
      <c r="P447" s="5" t="inlineStr">
        <is>
          <t>NA</t>
        </is>
      </c>
      <c r="Q447" s="13" t="inlineStr">
        <is>
          <t>NA</t>
        </is>
      </c>
      <c r="R447" s="7" t="n">
        <v>1</v>
      </c>
      <c r="S447" s="7">
        <f>IFERROR($R447/$G447,"")</f>
        <v/>
      </c>
      <c r="T447" s="7" t="inlineStr">
        <is>
          <t>NA</t>
        </is>
      </c>
      <c r="U447" s="7" t="inlineStr">
        <is>
          <t>NA</t>
        </is>
      </c>
      <c r="V447" s="7" t="inlineStr">
        <is>
          <t>NA</t>
        </is>
      </c>
      <c r="W447" s="9">
        <f>IF(ISNUMBER($T447),$T447*$J447*Assumptions!$B$4,"NA")</f>
        <v/>
      </c>
      <c r="X447" s="9">
        <f>IF(ISNUMBER($U447),$U447*$J447*Assumptions!$B$4,"NA")</f>
        <v/>
      </c>
      <c r="Y447" s="9">
        <f>IF(ISNUMBER($V447),$V447*$J447*Assumptions!$B$4,"NA")</f>
        <v/>
      </c>
    </row>
    <row r="448">
      <c r="A448" s="5" t="inlineStr">
        <is>
          <t>SSB Parts</t>
        </is>
      </c>
      <c r="B448" s="5" t="inlineStr">
        <is>
          <t>Electrical</t>
        </is>
      </c>
      <c r="C448" s="5" t="inlineStr">
        <is>
          <t>MSM Group LLC</t>
        </is>
      </c>
      <c r="D448" s="5" t="inlineStr">
        <is>
          <t>Trader/Distributor</t>
        </is>
      </c>
      <c r="E448" s="5" t="inlineStr">
        <is>
          <t>Mongolia</t>
        </is>
      </c>
      <c r="F448" s="5" t="n">
        <v>2025</v>
      </c>
      <c r="G448" s="5" t="n">
        <v>3</v>
      </c>
      <c r="H448" s="7" t="n">
        <v>44.61</v>
      </c>
      <c r="I448" s="5" t="inlineStr">
        <is>
          <t>USD</t>
        </is>
      </c>
      <c r="J448" s="8">
        <f>IF($I448="AUD",Assumptions!$B$2,Assumptions!$B$3)</f>
        <v/>
      </c>
      <c r="K448" s="9">
        <f>$G448*$H448*$J448</f>
        <v/>
      </c>
      <c r="L448" s="9">
        <f>$K448*Assumptions!$B$4</f>
        <v/>
      </c>
      <c r="M448" s="9">
        <f>RawTx[[#This Row],[Value USD]]/RawTx[[#This Row],[Quantity]]</f>
        <v/>
      </c>
      <c r="N448" s="9">
        <f>RawTx[[#This Row],[Value IDR]]/RawTx[[#This Row],[Quantity]]</f>
        <v/>
      </c>
      <c r="O448" s="4" t="inlineStr">
        <is>
          <t>FILTER ELEMN,FLUID:EA4925;PALFINGER</t>
        </is>
      </c>
      <c r="P448" s="5" t="inlineStr">
        <is>
          <t>NA</t>
        </is>
      </c>
      <c r="Q448" s="13" t="inlineStr">
        <is>
          <t>NA</t>
        </is>
      </c>
      <c r="R448" s="7" t="n">
        <v>1</v>
      </c>
      <c r="S448" s="7">
        <f>IFERROR($R448/$G448,"")</f>
        <v/>
      </c>
      <c r="T448" s="7" t="inlineStr">
        <is>
          <t>NA</t>
        </is>
      </c>
      <c r="U448" s="7" t="inlineStr">
        <is>
          <t>NA</t>
        </is>
      </c>
      <c r="V448" s="7" t="inlineStr">
        <is>
          <t>NA</t>
        </is>
      </c>
      <c r="W448" s="9">
        <f>IF(ISNUMBER($T448),$T448*$J448*Assumptions!$B$4,"NA")</f>
        <v/>
      </c>
      <c r="X448" s="9">
        <f>IF(ISNUMBER($U448),$U448*$J448*Assumptions!$B$4,"NA")</f>
        <v/>
      </c>
      <c r="Y448" s="9">
        <f>IF(ISNUMBER($V448),$V448*$J448*Assumptions!$B$4,"NA")</f>
        <v/>
      </c>
    </row>
    <row r="449">
      <c r="A449" s="5" t="inlineStr">
        <is>
          <t>SSB Parts</t>
        </is>
      </c>
      <c r="B449" s="5" t="inlineStr">
        <is>
          <t>Electrical</t>
        </is>
      </c>
      <c r="C449" s="5" t="inlineStr">
        <is>
          <t>MSM Group LLC</t>
        </is>
      </c>
      <c r="D449" s="5" t="inlineStr">
        <is>
          <t>Trader/Distributor</t>
        </is>
      </c>
      <c r="E449" s="5" t="inlineStr">
        <is>
          <t>Mongolia</t>
        </is>
      </c>
      <c r="F449" s="5" t="n">
        <v>2025</v>
      </c>
      <c r="G449" s="5" t="n">
        <v>6</v>
      </c>
      <c r="H449" s="7" t="n">
        <v>320</v>
      </c>
      <c r="I449" s="5" t="inlineStr">
        <is>
          <t>USD</t>
        </is>
      </c>
      <c r="J449" s="8">
        <f>IF($I449="AUD",Assumptions!$B$2,Assumptions!$B$3)</f>
        <v/>
      </c>
      <c r="K449" s="9">
        <f>$G449*$H449*$J449</f>
        <v/>
      </c>
      <c r="L449" s="9">
        <f>$K449*Assumptions!$B$4</f>
        <v/>
      </c>
      <c r="M449" s="9">
        <f>RawTx[[#This Row],[Value USD]]/RawTx[[#This Row],[Quantity]]</f>
        <v/>
      </c>
      <c r="N449" s="9">
        <f>RawTx[[#This Row],[Value IDR]]/RawTx[[#This Row],[Quantity]]</f>
        <v/>
      </c>
      <c r="O449" s="4" t="inlineStr">
        <is>
          <t>LAMP,FLUORESCENT:1308124;BUYERS</t>
        </is>
      </c>
      <c r="P449" s="5" t="inlineStr">
        <is>
          <t>NA</t>
        </is>
      </c>
      <c r="Q449" s="13" t="inlineStr">
        <is>
          <t>NA</t>
        </is>
      </c>
      <c r="R449" s="7" t="n">
        <v>8.300000000000001</v>
      </c>
      <c r="S449" s="7">
        <f>IFERROR($R449/$G449,"")</f>
        <v/>
      </c>
      <c r="T449" s="7" t="inlineStr">
        <is>
          <t>NA</t>
        </is>
      </c>
      <c r="U449" s="7" t="inlineStr">
        <is>
          <t>NA</t>
        </is>
      </c>
      <c r="V449" s="7" t="inlineStr">
        <is>
          <t>NA</t>
        </is>
      </c>
      <c r="W449" s="9">
        <f>IF(ISNUMBER($T449),$T449*$J449*Assumptions!$B$4,"NA")</f>
        <v/>
      </c>
      <c r="X449" s="9">
        <f>IF(ISNUMBER($U449),$U449*$J449*Assumptions!$B$4,"NA")</f>
        <v/>
      </c>
      <c r="Y449" s="9">
        <f>IF(ISNUMBER($V449),$V449*$J449*Assumptions!$B$4,"NA")</f>
        <v/>
      </c>
    </row>
    <row r="450">
      <c r="A450" s="5" t="inlineStr">
        <is>
          <t>SSB Parts</t>
        </is>
      </c>
      <c r="B450" s="5" t="inlineStr">
        <is>
          <t>Electrical</t>
        </is>
      </c>
      <c r="C450" s="5" t="inlineStr">
        <is>
          <t>MSM Group LLC</t>
        </is>
      </c>
      <c r="D450" s="5" t="inlineStr">
        <is>
          <t>Trader/Distributor</t>
        </is>
      </c>
      <c r="E450" s="5" t="inlineStr">
        <is>
          <t>Mongolia</t>
        </is>
      </c>
      <c r="F450" s="5" t="n">
        <v>2025</v>
      </c>
      <c r="G450" s="5" t="n">
        <v>8</v>
      </c>
      <c r="H450" s="7" t="n">
        <v>7.92</v>
      </c>
      <c r="I450" s="5" t="inlineStr">
        <is>
          <t>USD</t>
        </is>
      </c>
      <c r="J450" s="8">
        <f>IF($I450="AUD",Assumptions!$B$2,Assumptions!$B$3)</f>
        <v/>
      </c>
      <c r="K450" s="9">
        <f>$G450*$H450*$J450</f>
        <v/>
      </c>
      <c r="L450" s="9">
        <f>$K450*Assumptions!$B$4</f>
        <v/>
      </c>
      <c r="M450" s="9">
        <f>RawTx[[#This Row],[Value USD]]/RawTx[[#This Row],[Quantity]]</f>
        <v/>
      </c>
      <c r="N450" s="9">
        <f>RawTx[[#This Row],[Value IDR]]/RawTx[[#This Row],[Quantity]]</f>
        <v/>
      </c>
      <c r="O450" s="4" t="inlineStr">
        <is>
          <t>BOLT, MCH: 000.001.148+ SK 3104-46;JOST</t>
        </is>
      </c>
      <c r="P450" s="5" t="inlineStr">
        <is>
          <t>NA</t>
        </is>
      </c>
      <c r="Q450" s="13" t="inlineStr">
        <is>
          <t>NA</t>
        </is>
      </c>
      <c r="R450" s="7" t="n">
        <v>0.7</v>
      </c>
      <c r="S450" s="7">
        <f>IFERROR($R450/$G450,"")</f>
        <v/>
      </c>
      <c r="T450" s="7" t="inlineStr">
        <is>
          <t>NA</t>
        </is>
      </c>
      <c r="U450" s="7" t="inlineStr">
        <is>
          <t>NA</t>
        </is>
      </c>
      <c r="V450" s="7" t="inlineStr">
        <is>
          <t>NA</t>
        </is>
      </c>
      <c r="W450" s="9">
        <f>IF(ISNUMBER($T450),$T450*$J450*Assumptions!$B$4,"NA")</f>
        <v/>
      </c>
      <c r="X450" s="9">
        <f>IF(ISNUMBER($U450),$U450*$J450*Assumptions!$B$4,"NA")</f>
        <v/>
      </c>
      <c r="Y450" s="9">
        <f>IF(ISNUMBER($V450),$V450*$J450*Assumptions!$B$4,"NA")</f>
        <v/>
      </c>
    </row>
    <row r="451">
      <c r="A451" s="5" t="inlineStr">
        <is>
          <t>SSB Parts</t>
        </is>
      </c>
      <c r="B451" s="5" t="inlineStr">
        <is>
          <t>Electrical</t>
        </is>
      </c>
      <c r="C451" s="5" t="inlineStr">
        <is>
          <t>MSM Group LLC</t>
        </is>
      </c>
      <c r="D451" s="5" t="inlineStr">
        <is>
          <t>Trader/Distributor</t>
        </is>
      </c>
      <c r="E451" s="5" t="inlineStr">
        <is>
          <t>Mongolia</t>
        </is>
      </c>
      <c r="F451" s="5" t="n">
        <v>2025</v>
      </c>
      <c r="G451" s="5" t="n">
        <v>6</v>
      </c>
      <c r="H451" s="7" t="n">
        <v>22.96</v>
      </c>
      <c r="I451" s="5" t="inlineStr">
        <is>
          <t>USD</t>
        </is>
      </c>
      <c r="J451" s="8">
        <f>IF($I451="AUD",Assumptions!$B$2,Assumptions!$B$3)</f>
        <v/>
      </c>
      <c r="K451" s="9">
        <f>$G451*$H451*$J451</f>
        <v/>
      </c>
      <c r="L451" s="9">
        <f>$K451*Assumptions!$B$4</f>
        <v/>
      </c>
      <c r="M451" s="9">
        <f>RawTx[[#This Row],[Value USD]]/RawTx[[#This Row],[Quantity]]</f>
        <v/>
      </c>
      <c r="N451" s="9">
        <f>RawTx[[#This Row],[Value IDR]]/RawTx[[#This Row],[Quantity]]</f>
        <v/>
      </c>
      <c r="O451" s="4" t="inlineStr">
        <is>
          <t>CONDUIT,FLX:CORRUGATED;NYLON PA6;28MM;BK</t>
        </is>
      </c>
      <c r="P451" s="5" t="inlineStr">
        <is>
          <t>NA</t>
        </is>
      </c>
      <c r="Q451" s="13" t="inlineStr">
        <is>
          <t>NA</t>
        </is>
      </c>
      <c r="R451" s="7" t="n">
        <v>1.11</v>
      </c>
      <c r="S451" s="7">
        <f>IFERROR($R451/$G451,"")</f>
        <v/>
      </c>
      <c r="T451" s="7" t="inlineStr">
        <is>
          <t>NA</t>
        </is>
      </c>
      <c r="U451" s="7" t="inlineStr">
        <is>
          <t>NA</t>
        </is>
      </c>
      <c r="V451" s="7" t="inlineStr">
        <is>
          <t>NA</t>
        </is>
      </c>
      <c r="W451" s="9">
        <f>IF(ISNUMBER($T451),$T451*$J451*Assumptions!$B$4,"NA")</f>
        <v/>
      </c>
      <c r="X451" s="9">
        <f>IF(ISNUMBER($U451),$U451*$J451*Assumptions!$B$4,"NA")</f>
        <v/>
      </c>
      <c r="Y451" s="9">
        <f>IF(ISNUMBER($V451),$V451*$J451*Assumptions!$B$4,"NA")</f>
        <v/>
      </c>
    </row>
    <row r="452">
      <c r="A452" s="5" t="inlineStr">
        <is>
          <t>SSB Parts</t>
        </is>
      </c>
      <c r="B452" s="5" t="inlineStr">
        <is>
          <t>Electrical</t>
        </is>
      </c>
      <c r="C452" s="5" t="inlineStr">
        <is>
          <t>MSM Group LLC</t>
        </is>
      </c>
      <c r="D452" s="5" t="inlineStr">
        <is>
          <t>Trader/Distributor</t>
        </is>
      </c>
      <c r="E452" s="5" t="inlineStr">
        <is>
          <t>Mongolia</t>
        </is>
      </c>
      <c r="F452" s="5" t="n">
        <v>2025</v>
      </c>
      <c r="G452" s="5" t="n">
        <v>2</v>
      </c>
      <c r="H452" s="7" t="n">
        <v>59.46</v>
      </c>
      <c r="I452" s="5" t="inlineStr">
        <is>
          <t>USD</t>
        </is>
      </c>
      <c r="J452" s="8">
        <f>IF($I452="AUD",Assumptions!$B$2,Assumptions!$B$3)</f>
        <v/>
      </c>
      <c r="K452" s="9">
        <f>$G452*$H452*$J452</f>
        <v/>
      </c>
      <c r="L452" s="9">
        <f>$K452*Assumptions!$B$4</f>
        <v/>
      </c>
      <c r="M452" s="9">
        <f>RawTx[[#This Row],[Value USD]]/RawTx[[#This Row],[Quantity]]</f>
        <v/>
      </c>
      <c r="N452" s="9">
        <f>RawTx[[#This Row],[Value IDR]]/RawTx[[#This Row],[Quantity]]</f>
        <v/>
      </c>
      <c r="O452" s="4" t="inlineStr">
        <is>
          <t>CONN:ELC;2 WAY;95MM2;PC;350A;GY</t>
        </is>
      </c>
      <c r="P452" s="5" t="inlineStr">
        <is>
          <t>NA</t>
        </is>
      </c>
      <c r="Q452" s="13" t="inlineStr">
        <is>
          <t>NA</t>
        </is>
      </c>
      <c r="R452" s="7" t="n">
        <v>1</v>
      </c>
      <c r="S452" s="7">
        <f>IFERROR($R452/$G452,"")</f>
        <v/>
      </c>
      <c r="T452" s="7" t="inlineStr">
        <is>
          <t>NA</t>
        </is>
      </c>
      <c r="U452" s="7" t="inlineStr">
        <is>
          <t>NA</t>
        </is>
      </c>
      <c r="V452" s="7" t="inlineStr">
        <is>
          <t>NA</t>
        </is>
      </c>
      <c r="W452" s="9">
        <f>IF(ISNUMBER($T452),$T452*$J452*Assumptions!$B$4,"NA")</f>
        <v/>
      </c>
      <c r="X452" s="9">
        <f>IF(ISNUMBER($U452),$U452*$J452*Assumptions!$B$4,"NA")</f>
        <v/>
      </c>
      <c r="Y452" s="9">
        <f>IF(ISNUMBER($V452),$V452*$J452*Assumptions!$B$4,"NA")</f>
        <v/>
      </c>
    </row>
    <row r="453">
      <c r="A453" s="5" t="inlineStr">
        <is>
          <t>SSB Parts</t>
        </is>
      </c>
      <c r="B453" s="5" t="inlineStr">
        <is>
          <t>Electrical</t>
        </is>
      </c>
      <c r="C453" s="5" t="inlineStr">
        <is>
          <t>MSM Group LLC</t>
        </is>
      </c>
      <c r="D453" s="5" t="inlineStr">
        <is>
          <t>Trader/Distributor</t>
        </is>
      </c>
      <c r="E453" s="5" t="inlineStr">
        <is>
          <t>Mongolia</t>
        </is>
      </c>
      <c r="F453" s="5" t="n">
        <v>2025</v>
      </c>
      <c r="G453" s="5" t="n">
        <v>6</v>
      </c>
      <c r="H453" s="7" t="n">
        <v>45.07</v>
      </c>
      <c r="I453" s="5" t="inlineStr">
        <is>
          <t>USD</t>
        </is>
      </c>
      <c r="J453" s="8">
        <f>IF($I453="AUD",Assumptions!$B$2,Assumptions!$B$3)</f>
        <v/>
      </c>
      <c r="K453" s="9">
        <f>$G453*$H453*$J453</f>
        <v/>
      </c>
      <c r="L453" s="9">
        <f>$K453*Assumptions!$B$4</f>
        <v/>
      </c>
      <c r="M453" s="9">
        <f>RawTx[[#This Row],[Value USD]]/RawTx[[#This Row],[Quantity]]</f>
        <v/>
      </c>
      <c r="N453" s="9">
        <f>RawTx[[#This Row],[Value IDR]]/RawTx[[#This Row],[Quantity]]</f>
        <v/>
      </c>
      <c r="O453" s="4" t="inlineStr">
        <is>
          <t>SWITCH:ON/OFF;1P;10A;GY;IP66;500V;50HZ</t>
        </is>
      </c>
      <c r="P453" s="5" t="inlineStr">
        <is>
          <t>NA</t>
        </is>
      </c>
      <c r="Q453" s="13" t="inlineStr">
        <is>
          <t>NA</t>
        </is>
      </c>
      <c r="R453" s="7" t="n">
        <v>3</v>
      </c>
      <c r="S453" s="7">
        <f>IFERROR($R453/$G453,"")</f>
        <v/>
      </c>
      <c r="T453" s="7" t="inlineStr">
        <is>
          <t>NA</t>
        </is>
      </c>
      <c r="U453" s="7" t="inlineStr">
        <is>
          <t>NA</t>
        </is>
      </c>
      <c r="V453" s="7" t="inlineStr">
        <is>
          <t>NA</t>
        </is>
      </c>
      <c r="W453" s="9">
        <f>IF(ISNUMBER($T453),$T453*$J453*Assumptions!$B$4,"NA")</f>
        <v/>
      </c>
      <c r="X453" s="9">
        <f>IF(ISNUMBER($U453),$U453*$J453*Assumptions!$B$4,"NA")</f>
        <v/>
      </c>
      <c r="Y453" s="9">
        <f>IF(ISNUMBER($V453),$V453*$J453*Assumptions!$B$4,"NA")</f>
        <v/>
      </c>
    </row>
    <row r="454">
      <c r="A454" s="5" t="inlineStr">
        <is>
          <t>SSB Parts</t>
        </is>
      </c>
      <c r="B454" s="5" t="inlineStr">
        <is>
          <t>Electrical</t>
        </is>
      </c>
      <c r="C454" s="5" t="inlineStr">
        <is>
          <t>MSM Group LLC</t>
        </is>
      </c>
      <c r="D454" s="5" t="inlineStr">
        <is>
          <t>Trader/Distributor</t>
        </is>
      </c>
      <c r="E454" s="5" t="inlineStr">
        <is>
          <t>Mongolia</t>
        </is>
      </c>
      <c r="F454" s="5" t="n">
        <v>2025</v>
      </c>
      <c r="G454" s="5" t="n">
        <v>18</v>
      </c>
      <c r="H454" s="7" t="n">
        <v>59.46</v>
      </c>
      <c r="I454" s="5" t="inlineStr">
        <is>
          <t>USD</t>
        </is>
      </c>
      <c r="J454" s="8">
        <f>IF($I454="AUD",Assumptions!$B$2,Assumptions!$B$3)</f>
        <v/>
      </c>
      <c r="K454" s="9">
        <f>$G454*$H454*$J454</f>
        <v/>
      </c>
      <c r="L454" s="9">
        <f>$K454*Assumptions!$B$4</f>
        <v/>
      </c>
      <c r="M454" s="9">
        <f>RawTx[[#This Row],[Value USD]]/RawTx[[#This Row],[Quantity]]</f>
        <v/>
      </c>
      <c r="N454" s="9">
        <f>RawTx[[#This Row],[Value IDR]]/RawTx[[#This Row],[Quantity]]</f>
        <v/>
      </c>
      <c r="O454" s="4" t="inlineStr">
        <is>
          <t>CONN:ELC;2 WAY;95MM2;PC;350A;GY</t>
        </is>
      </c>
      <c r="P454" s="5" t="inlineStr">
        <is>
          <t>NA</t>
        </is>
      </c>
      <c r="Q454" s="13" t="inlineStr">
        <is>
          <t>NA</t>
        </is>
      </c>
      <c r="R454" s="7" t="n">
        <v>5</v>
      </c>
      <c r="S454" s="7">
        <f>IFERROR($R454/$G454,"")</f>
        <v/>
      </c>
      <c r="T454" s="7" t="inlineStr">
        <is>
          <t>NA</t>
        </is>
      </c>
      <c r="U454" s="7" t="inlineStr">
        <is>
          <t>NA</t>
        </is>
      </c>
      <c r="V454" s="7" t="inlineStr">
        <is>
          <t>NA</t>
        </is>
      </c>
      <c r="W454" s="9">
        <f>IF(ISNUMBER($T454),$T454*$J454*Assumptions!$B$4,"NA")</f>
        <v/>
      </c>
      <c r="X454" s="9">
        <f>IF(ISNUMBER($U454),$U454*$J454*Assumptions!$B$4,"NA")</f>
        <v/>
      </c>
      <c r="Y454" s="9">
        <f>IF(ISNUMBER($V454),$V454*$J454*Assumptions!$B$4,"NA")</f>
        <v/>
      </c>
    </row>
    <row r="455">
      <c r="A455" s="5" t="inlineStr">
        <is>
          <t>SSB Parts</t>
        </is>
      </c>
      <c r="B455" s="5" t="inlineStr">
        <is>
          <t>Electrical</t>
        </is>
      </c>
      <c r="C455" s="5" t="inlineStr">
        <is>
          <t>MSM Group LLC</t>
        </is>
      </c>
      <c r="D455" s="5" t="inlineStr">
        <is>
          <t>Trader/Distributor</t>
        </is>
      </c>
      <c r="E455" s="5" t="inlineStr">
        <is>
          <t>Mongolia</t>
        </is>
      </c>
      <c r="F455" s="5" t="n">
        <v>2025</v>
      </c>
      <c r="G455" s="5" t="n">
        <v>10</v>
      </c>
      <c r="H455" s="7" t="n">
        <v>10.26</v>
      </c>
      <c r="I455" s="5" t="inlineStr">
        <is>
          <t>USD</t>
        </is>
      </c>
      <c r="J455" s="8">
        <f>IF($I455="AUD",Assumptions!$B$2,Assumptions!$B$3)</f>
        <v/>
      </c>
      <c r="K455" s="9">
        <f>$G455*$H455*$J455</f>
        <v/>
      </c>
      <c r="L455" s="9">
        <f>$K455*Assumptions!$B$4</f>
        <v/>
      </c>
      <c r="M455" s="9">
        <f>RawTx[[#This Row],[Value USD]]/RawTx[[#This Row],[Quantity]]</f>
        <v/>
      </c>
      <c r="N455" s="9">
        <f>RawTx[[#This Row],[Value IDR]]/RawTx[[#This Row],[Quantity]]</f>
        <v/>
      </c>
      <c r="O455" s="4" t="inlineStr">
        <is>
          <t>BOLT-SPACER KIT:HEX;8.8;HT;M30X200MM;8.8</t>
        </is>
      </c>
      <c r="P455" s="5" t="inlineStr">
        <is>
          <t>NA</t>
        </is>
      </c>
      <c r="Q455" s="13" t="inlineStr">
        <is>
          <t>NA</t>
        </is>
      </c>
      <c r="R455" s="7" t="n">
        <v>16</v>
      </c>
      <c r="S455" s="7">
        <f>IFERROR($R455/$G455,"")</f>
        <v/>
      </c>
      <c r="T455" s="7" t="inlineStr">
        <is>
          <t>NA</t>
        </is>
      </c>
      <c r="U455" s="7" t="inlineStr">
        <is>
          <t>NA</t>
        </is>
      </c>
      <c r="V455" s="7" t="inlineStr">
        <is>
          <t>NA</t>
        </is>
      </c>
      <c r="W455" s="9">
        <f>IF(ISNUMBER($T455),$T455*$J455*Assumptions!$B$4,"NA")</f>
        <v/>
      </c>
      <c r="X455" s="9">
        <f>IF(ISNUMBER($U455),$U455*$J455*Assumptions!$B$4,"NA")</f>
        <v/>
      </c>
      <c r="Y455" s="9">
        <f>IF(ISNUMBER($V455),$V455*$J455*Assumptions!$B$4,"NA")</f>
        <v/>
      </c>
    </row>
    <row r="456">
      <c r="A456" s="5" t="inlineStr">
        <is>
          <t>SSB Parts</t>
        </is>
      </c>
      <c r="B456" s="5" t="inlineStr">
        <is>
          <t>Electrical</t>
        </is>
      </c>
      <c r="C456" s="5" t="inlineStr">
        <is>
          <t>MSM Group LLC</t>
        </is>
      </c>
      <c r="D456" s="5" t="inlineStr">
        <is>
          <t>Trader/Distributor</t>
        </is>
      </c>
      <c r="E456" s="5" t="inlineStr">
        <is>
          <t>Mongolia</t>
        </is>
      </c>
      <c r="F456" s="5" t="n">
        <v>2025</v>
      </c>
      <c r="G456" s="5" t="n">
        <v>20</v>
      </c>
      <c r="H456" s="7" t="n">
        <v>36.66</v>
      </c>
      <c r="I456" s="5" t="inlineStr">
        <is>
          <t>USD</t>
        </is>
      </c>
      <c r="J456" s="8">
        <f>IF($I456="AUD",Assumptions!$B$2,Assumptions!$B$3)</f>
        <v/>
      </c>
      <c r="K456" s="9">
        <f>$G456*$H456*$J456</f>
        <v/>
      </c>
      <c r="L456" s="9">
        <f>$K456*Assumptions!$B$4</f>
        <v/>
      </c>
      <c r="M456" s="9">
        <f>RawTx[[#This Row],[Value USD]]/RawTx[[#This Row],[Quantity]]</f>
        <v/>
      </c>
      <c r="N456" s="9">
        <f>RawTx[[#This Row],[Value IDR]]/RawTx[[#This Row],[Quantity]]</f>
        <v/>
      </c>
      <c r="O456" s="4" t="inlineStr">
        <is>
          <t>ADAPTER:ELBOW;222062PS;GOUGH</t>
        </is>
      </c>
      <c r="P456" s="5" t="inlineStr">
        <is>
          <t>NA</t>
        </is>
      </c>
      <c r="Q456" s="13" t="inlineStr">
        <is>
          <t>NA</t>
        </is>
      </c>
      <c r="R456" s="7" t="n">
        <v>24.01</v>
      </c>
      <c r="S456" s="7">
        <f>IFERROR($R456/$G456,"")</f>
        <v/>
      </c>
      <c r="T456" s="7" t="inlineStr">
        <is>
          <t>NA</t>
        </is>
      </c>
      <c r="U456" s="7" t="inlineStr">
        <is>
          <t>NA</t>
        </is>
      </c>
      <c r="V456" s="7" t="inlineStr">
        <is>
          <t>NA</t>
        </is>
      </c>
      <c r="W456" s="9">
        <f>IF(ISNUMBER($T456),$T456*$J456*Assumptions!$B$4,"NA")</f>
        <v/>
      </c>
      <c r="X456" s="9">
        <f>IF(ISNUMBER($U456),$U456*$J456*Assumptions!$B$4,"NA")</f>
        <v/>
      </c>
      <c r="Y456" s="9">
        <f>IF(ISNUMBER($V456),$V456*$J456*Assumptions!$B$4,"NA")</f>
        <v/>
      </c>
    </row>
    <row r="457">
      <c r="A457" s="5" t="inlineStr">
        <is>
          <t>SSB Parts</t>
        </is>
      </c>
      <c r="B457" s="5" t="inlineStr">
        <is>
          <t>Electrical</t>
        </is>
      </c>
      <c r="C457" s="5" t="inlineStr">
        <is>
          <t>MSM Group LLC</t>
        </is>
      </c>
      <c r="D457" s="5" t="inlineStr">
        <is>
          <t>Trader/Distributor</t>
        </is>
      </c>
      <c r="E457" s="5" t="inlineStr">
        <is>
          <t>Mongolia</t>
        </is>
      </c>
      <c r="F457" s="5" t="n">
        <v>2025</v>
      </c>
      <c r="G457" s="5" t="n">
        <v>6</v>
      </c>
      <c r="H457" s="7" t="n">
        <v>44.61</v>
      </c>
      <c r="I457" s="5" t="inlineStr">
        <is>
          <t>USD</t>
        </is>
      </c>
      <c r="J457" s="8">
        <f>IF($I457="AUD",Assumptions!$B$2,Assumptions!$B$3)</f>
        <v/>
      </c>
      <c r="K457" s="9">
        <f>$G457*$H457*$J457</f>
        <v/>
      </c>
      <c r="L457" s="9">
        <f>$K457*Assumptions!$B$4</f>
        <v/>
      </c>
      <c r="M457" s="9">
        <f>RawTx[[#This Row],[Value USD]]/RawTx[[#This Row],[Quantity]]</f>
        <v/>
      </c>
      <c r="N457" s="9">
        <f>RawTx[[#This Row],[Value IDR]]/RawTx[[#This Row],[Quantity]]</f>
        <v/>
      </c>
      <c r="O457" s="4" t="inlineStr">
        <is>
          <t>FILTER ELEMN,FLUID:EA4925;PALFINGER</t>
        </is>
      </c>
      <c r="P457" s="5" t="inlineStr">
        <is>
          <t>NA</t>
        </is>
      </c>
      <c r="Q457" s="13" t="inlineStr">
        <is>
          <t>NA</t>
        </is>
      </c>
      <c r="R457" s="7" t="n">
        <v>2</v>
      </c>
      <c r="S457" s="7">
        <f>IFERROR($R457/$G457,"")</f>
        <v/>
      </c>
      <c r="T457" s="7" t="inlineStr">
        <is>
          <t>NA</t>
        </is>
      </c>
      <c r="U457" s="7" t="inlineStr">
        <is>
          <t>NA</t>
        </is>
      </c>
      <c r="V457" s="7" t="inlineStr">
        <is>
          <t>NA</t>
        </is>
      </c>
      <c r="W457" s="9">
        <f>IF(ISNUMBER($T457),$T457*$J457*Assumptions!$B$4,"NA")</f>
        <v/>
      </c>
      <c r="X457" s="9">
        <f>IF(ISNUMBER($U457),$U457*$J457*Assumptions!$B$4,"NA")</f>
        <v/>
      </c>
      <c r="Y457" s="9">
        <f>IF(ISNUMBER($V457),$V457*$J457*Assumptions!$B$4,"NA")</f>
        <v/>
      </c>
    </row>
    <row r="458">
      <c r="A458" s="5" t="inlineStr">
        <is>
          <t>SSB Parts</t>
        </is>
      </c>
      <c r="B458" s="5" t="inlineStr">
        <is>
          <t>Electrical</t>
        </is>
      </c>
      <c r="C458" s="5" t="inlineStr">
        <is>
          <t>MSM Group LLC</t>
        </is>
      </c>
      <c r="D458" s="5" t="inlineStr">
        <is>
          <t>Trader/Distributor</t>
        </is>
      </c>
      <c r="E458" s="5" t="inlineStr">
        <is>
          <t>Mongolia</t>
        </is>
      </c>
      <c r="F458" s="5" t="n">
        <v>2025</v>
      </c>
      <c r="G458" s="5" t="n">
        <v>4</v>
      </c>
      <c r="H458" s="7" t="n">
        <v>77.78</v>
      </c>
      <c r="I458" s="5" t="inlineStr">
        <is>
          <t>USD</t>
        </is>
      </c>
      <c r="J458" s="8">
        <f>IF($I458="AUD",Assumptions!$B$2,Assumptions!$B$3)</f>
        <v/>
      </c>
      <c r="K458" s="9">
        <f>$G458*$H458*$J458</f>
        <v/>
      </c>
      <c r="L458" s="9">
        <f>$K458*Assumptions!$B$4</f>
        <v/>
      </c>
      <c r="M458" s="9">
        <f>RawTx[[#This Row],[Value USD]]/RawTx[[#This Row],[Quantity]]</f>
        <v/>
      </c>
      <c r="N458" s="9">
        <f>RawTx[[#This Row],[Value IDR]]/RawTx[[#This Row],[Quantity]]</f>
        <v/>
      </c>
      <c r="O458" s="4" t="inlineStr">
        <is>
          <t>PIN,LOCK:SB111870107</t>
        </is>
      </c>
      <c r="P458" s="5" t="inlineStr">
        <is>
          <t>NA</t>
        </is>
      </c>
      <c r="Q458" s="13" t="inlineStr">
        <is>
          <t>NA</t>
        </is>
      </c>
      <c r="R458" s="7" t="n">
        <v>22.5</v>
      </c>
      <c r="S458" s="7">
        <f>IFERROR($R458/$G458,"")</f>
        <v/>
      </c>
      <c r="T458" s="7" t="inlineStr">
        <is>
          <t>NA</t>
        </is>
      </c>
      <c r="U458" s="7" t="inlineStr">
        <is>
          <t>NA</t>
        </is>
      </c>
      <c r="V458" s="7" t="inlineStr">
        <is>
          <t>NA</t>
        </is>
      </c>
      <c r="W458" s="9">
        <f>IF(ISNUMBER($T458),$T458*$J458*Assumptions!$B$4,"NA")</f>
        <v/>
      </c>
      <c r="X458" s="9">
        <f>IF(ISNUMBER($U458),$U458*$J458*Assumptions!$B$4,"NA")</f>
        <v/>
      </c>
      <c r="Y458" s="9">
        <f>IF(ISNUMBER($V458),$V458*$J458*Assumptions!$B$4,"NA")</f>
        <v/>
      </c>
    </row>
    <row r="459">
      <c r="A459" s="5" t="inlineStr">
        <is>
          <t>SSB Parts</t>
        </is>
      </c>
      <c r="B459" s="5" t="inlineStr">
        <is>
          <t>Electrical</t>
        </is>
      </c>
      <c r="C459" s="5" t="inlineStr">
        <is>
          <t>MSM Group LLC</t>
        </is>
      </c>
      <c r="D459" s="5" t="inlineStr">
        <is>
          <t>Trader/Distributor</t>
        </is>
      </c>
      <c r="E459" s="5" t="inlineStr">
        <is>
          <t>Mongolia</t>
        </is>
      </c>
      <c r="F459" s="5" t="n">
        <v>2025</v>
      </c>
      <c r="G459" s="5" t="n">
        <v>4</v>
      </c>
      <c r="H459" s="7" t="n">
        <v>645</v>
      </c>
      <c r="I459" s="5" t="inlineStr">
        <is>
          <t>USD</t>
        </is>
      </c>
      <c r="J459" s="8">
        <f>IF($I459="AUD",Assumptions!$B$2,Assumptions!$B$3)</f>
        <v/>
      </c>
      <c r="K459" s="9">
        <f>$G459*$H459*$J459</f>
        <v/>
      </c>
      <c r="L459" s="9">
        <f>$K459*Assumptions!$B$4</f>
        <v/>
      </c>
      <c r="M459" s="9">
        <f>RawTx[[#This Row],[Value USD]]/RawTx[[#This Row],[Quantity]]</f>
        <v/>
      </c>
      <c r="N459" s="9">
        <f>RawTx[[#This Row],[Value IDR]]/RawTx[[#This Row],[Quantity]]</f>
        <v/>
      </c>
      <c r="O459" s="4" t="inlineStr">
        <is>
          <t>LAMP,LED:14W;9-33VDC;M10;850LM;IP6K9K</t>
        </is>
      </c>
      <c r="P459" s="5" t="inlineStr">
        <is>
          <t>NA</t>
        </is>
      </c>
      <c r="Q459" s="13" t="inlineStr">
        <is>
          <t>NA</t>
        </is>
      </c>
      <c r="R459" s="7" t="n">
        <v>3.87</v>
      </c>
      <c r="S459" s="7">
        <f>IFERROR($R459/$G459,"")</f>
        <v/>
      </c>
      <c r="T459" s="7" t="inlineStr">
        <is>
          <t>NA</t>
        </is>
      </c>
      <c r="U459" s="7" t="inlineStr">
        <is>
          <t>NA</t>
        </is>
      </c>
      <c r="V459" s="7" t="inlineStr">
        <is>
          <t>NA</t>
        </is>
      </c>
      <c r="W459" s="9">
        <f>IF(ISNUMBER($T459),$T459*$J459*Assumptions!$B$4,"NA")</f>
        <v/>
      </c>
      <c r="X459" s="9">
        <f>IF(ISNUMBER($U459),$U459*$J459*Assumptions!$B$4,"NA")</f>
        <v/>
      </c>
      <c r="Y459" s="9">
        <f>IF(ISNUMBER($V459),$V459*$J459*Assumptions!$B$4,"NA")</f>
        <v/>
      </c>
    </row>
    <row r="460">
      <c r="A460" s="5" t="inlineStr">
        <is>
          <t>SSB Parts</t>
        </is>
      </c>
      <c r="B460" s="5" t="inlineStr">
        <is>
          <t>Electrical</t>
        </is>
      </c>
      <c r="C460" s="5" t="inlineStr">
        <is>
          <t>MSM Group LLC</t>
        </is>
      </c>
      <c r="D460" s="5" t="inlineStr">
        <is>
          <t>Trader/Distributor</t>
        </is>
      </c>
      <c r="E460" s="5" t="inlineStr">
        <is>
          <t>Mongolia</t>
        </is>
      </c>
      <c r="F460" s="5" t="n">
        <v>2025</v>
      </c>
      <c r="G460" s="5" t="n">
        <v>4</v>
      </c>
      <c r="H460" s="7" t="n">
        <v>98.40000000000001</v>
      </c>
      <c r="I460" s="5" t="inlineStr">
        <is>
          <t>USD</t>
        </is>
      </c>
      <c r="J460" s="8">
        <f>IF($I460="AUD",Assumptions!$B$2,Assumptions!$B$3)</f>
        <v/>
      </c>
      <c r="K460" s="9">
        <f>$G460*$H460*$J460</f>
        <v/>
      </c>
      <c r="L460" s="9">
        <f>$K460*Assumptions!$B$4</f>
        <v/>
      </c>
      <c r="M460" s="9">
        <f>RawTx[[#This Row],[Value USD]]/RawTx[[#This Row],[Quantity]]</f>
        <v/>
      </c>
      <c r="N460" s="9">
        <f>RawTx[[#This Row],[Value IDR]]/RawTx[[#This Row],[Quantity]]</f>
        <v/>
      </c>
      <c r="O460" s="4" t="inlineStr">
        <is>
          <t>PIN,LOCK:SB111870122</t>
        </is>
      </c>
      <c r="P460" s="5" t="inlineStr">
        <is>
          <t>NA</t>
        </is>
      </c>
      <c r="Q460" s="13" t="inlineStr">
        <is>
          <t>NA</t>
        </is>
      </c>
      <c r="R460" s="7" t="n">
        <v>22.5</v>
      </c>
      <c r="S460" s="7">
        <f>IFERROR($R460/$G460,"")</f>
        <v/>
      </c>
      <c r="T460" s="7" t="inlineStr">
        <is>
          <t>NA</t>
        </is>
      </c>
      <c r="U460" s="7" t="inlineStr">
        <is>
          <t>NA</t>
        </is>
      </c>
      <c r="V460" s="7" t="inlineStr">
        <is>
          <t>NA</t>
        </is>
      </c>
      <c r="W460" s="9">
        <f>IF(ISNUMBER($T460),$T460*$J460*Assumptions!$B$4,"NA")</f>
        <v/>
      </c>
      <c r="X460" s="9">
        <f>IF(ISNUMBER($U460),$U460*$J460*Assumptions!$B$4,"NA")</f>
        <v/>
      </c>
      <c r="Y460" s="9">
        <f>IF(ISNUMBER($V460),$V460*$J460*Assumptions!$B$4,"NA")</f>
        <v/>
      </c>
    </row>
    <row r="461">
      <c r="A461" s="5" t="inlineStr">
        <is>
          <t>SSB Parts</t>
        </is>
      </c>
      <c r="B461" s="5" t="inlineStr">
        <is>
          <t>Electrical</t>
        </is>
      </c>
      <c r="C461" s="5" t="inlineStr">
        <is>
          <t>MSM Group LLC</t>
        </is>
      </c>
      <c r="D461" s="5" t="inlineStr">
        <is>
          <t>Trader/Distributor</t>
        </is>
      </c>
      <c r="E461" s="5" t="inlineStr">
        <is>
          <t>Mongolia</t>
        </is>
      </c>
      <c r="F461" s="5" t="n">
        <v>2025</v>
      </c>
      <c r="G461" s="5" t="n">
        <v>6</v>
      </c>
      <c r="H461" s="7" t="n">
        <v>51.7</v>
      </c>
      <c r="I461" s="5" t="inlineStr">
        <is>
          <t>USD</t>
        </is>
      </c>
      <c r="J461" s="8">
        <f>IF($I461="AUD",Assumptions!$B$2,Assumptions!$B$3)</f>
        <v/>
      </c>
      <c r="K461" s="9">
        <f>$G461*$H461*$J461</f>
        <v/>
      </c>
      <c r="L461" s="9">
        <f>$K461*Assumptions!$B$4</f>
        <v/>
      </c>
      <c r="M461" s="9">
        <f>RawTx[[#This Row],[Value USD]]/RawTx[[#This Row],[Quantity]]</f>
        <v/>
      </c>
      <c r="N461" s="9">
        <f>RawTx[[#This Row],[Value IDR]]/RawTx[[#This Row],[Quantity]]</f>
        <v/>
      </c>
      <c r="O461" s="4" t="inlineStr">
        <is>
          <t>CONN:ELC;2 WAY;95MM2;PC;350A;GY</t>
        </is>
      </c>
      <c r="P461" s="5" t="inlineStr">
        <is>
          <t>NA</t>
        </is>
      </c>
      <c r="Q461" s="13" t="inlineStr">
        <is>
          <t>NA</t>
        </is>
      </c>
      <c r="R461" s="7" t="n">
        <v>3.83</v>
      </c>
      <c r="S461" s="7">
        <f>IFERROR($R461/$G461,"")</f>
        <v/>
      </c>
      <c r="T461" s="7" t="inlineStr">
        <is>
          <t>NA</t>
        </is>
      </c>
      <c r="U461" s="7" t="inlineStr">
        <is>
          <t>NA</t>
        </is>
      </c>
      <c r="V461" s="7" t="inlineStr">
        <is>
          <t>NA</t>
        </is>
      </c>
      <c r="W461" s="9">
        <f>IF(ISNUMBER($T461),$T461*$J461*Assumptions!$B$4,"NA")</f>
        <v/>
      </c>
      <c r="X461" s="9">
        <f>IF(ISNUMBER($U461),$U461*$J461*Assumptions!$B$4,"NA")</f>
        <v/>
      </c>
      <c r="Y461" s="9">
        <f>IF(ISNUMBER($V461),$V461*$J461*Assumptions!$B$4,"NA")</f>
        <v/>
      </c>
    </row>
    <row r="462">
      <c r="A462" s="5" t="inlineStr">
        <is>
          <t>SSB Parts</t>
        </is>
      </c>
      <c r="B462" s="5" t="inlineStr">
        <is>
          <t>Electrical</t>
        </is>
      </c>
      <c r="C462" s="5" t="inlineStr">
        <is>
          <t>MSM Group LLC</t>
        </is>
      </c>
      <c r="D462" s="5" t="inlineStr">
        <is>
          <t>Trader/Distributor</t>
        </is>
      </c>
      <c r="E462" s="5" t="inlineStr">
        <is>
          <t>Mongolia</t>
        </is>
      </c>
      <c r="F462" s="5" t="n">
        <v>2025</v>
      </c>
      <c r="G462" s="5" t="n">
        <v>10</v>
      </c>
      <c r="H462" s="7" t="n">
        <v>84.38</v>
      </c>
      <c r="I462" s="5" t="inlineStr">
        <is>
          <t>USD</t>
        </is>
      </c>
      <c r="J462" s="8">
        <f>IF($I462="AUD",Assumptions!$B$2,Assumptions!$B$3)</f>
        <v/>
      </c>
      <c r="K462" s="9">
        <f>$G462*$H462*$J462</f>
        <v/>
      </c>
      <c r="L462" s="9">
        <f>$K462*Assumptions!$B$4</f>
        <v/>
      </c>
      <c r="M462" s="9">
        <f>RawTx[[#This Row],[Value USD]]/RawTx[[#This Row],[Quantity]]</f>
        <v/>
      </c>
      <c r="N462" s="9">
        <f>RawTx[[#This Row],[Value IDR]]/RawTx[[#This Row],[Quantity]]</f>
        <v/>
      </c>
      <c r="O462" s="4" t="inlineStr">
        <is>
          <t>BREATHER:PA;10 MIC;ANTI- SPLASH;1/2IN BSP</t>
        </is>
      </c>
      <c r="P462" s="5" t="inlineStr">
        <is>
          <t>NA</t>
        </is>
      </c>
      <c r="Q462" s="13" t="inlineStr">
        <is>
          <t>NA</t>
        </is>
      </c>
      <c r="R462" s="7" t="n">
        <v>2</v>
      </c>
      <c r="S462" s="7">
        <f>IFERROR($R462/$G462,"")</f>
        <v/>
      </c>
      <c r="T462" s="7" t="inlineStr">
        <is>
          <t>NA</t>
        </is>
      </c>
      <c r="U462" s="7" t="inlineStr">
        <is>
          <t>NA</t>
        </is>
      </c>
      <c r="V462" s="7" t="inlineStr">
        <is>
          <t>NA</t>
        </is>
      </c>
      <c r="W462" s="9">
        <f>IF(ISNUMBER($T462),$T462*$J462*Assumptions!$B$4,"NA")</f>
        <v/>
      </c>
      <c r="X462" s="9">
        <f>IF(ISNUMBER($U462),$U462*$J462*Assumptions!$B$4,"NA")</f>
        <v/>
      </c>
      <c r="Y462" s="9">
        <f>IF(ISNUMBER($V462),$V462*$J462*Assumptions!$B$4,"NA")</f>
        <v/>
      </c>
    </row>
    <row r="463">
      <c r="A463" s="5" t="inlineStr">
        <is>
          <t>SSB Parts</t>
        </is>
      </c>
      <c r="B463" s="5" t="inlineStr">
        <is>
          <t>Electrical</t>
        </is>
      </c>
      <c r="C463" s="5" t="inlineStr">
        <is>
          <t>MSM Group LLC</t>
        </is>
      </c>
      <c r="D463" s="5" t="inlineStr">
        <is>
          <t>Trader/Distributor</t>
        </is>
      </c>
      <c r="E463" s="5" t="inlineStr">
        <is>
          <t>Mongolia</t>
        </is>
      </c>
      <c r="F463" s="5" t="n">
        <v>2025</v>
      </c>
      <c r="G463" s="5" t="n">
        <v>3</v>
      </c>
      <c r="H463" s="7" t="n">
        <v>59.46</v>
      </c>
      <c r="I463" s="5" t="inlineStr">
        <is>
          <t>USD</t>
        </is>
      </c>
      <c r="J463" s="8">
        <f>IF($I463="AUD",Assumptions!$B$2,Assumptions!$B$3)</f>
        <v/>
      </c>
      <c r="K463" s="9">
        <f>$G463*$H463*$J463</f>
        <v/>
      </c>
      <c r="L463" s="9">
        <f>$K463*Assumptions!$B$4</f>
        <v/>
      </c>
      <c r="M463" s="9">
        <f>RawTx[[#This Row],[Value USD]]/RawTx[[#This Row],[Quantity]]</f>
        <v/>
      </c>
      <c r="N463" s="9">
        <f>RawTx[[#This Row],[Value IDR]]/RawTx[[#This Row],[Quantity]]</f>
        <v/>
      </c>
      <c r="O463" s="4" t="inlineStr">
        <is>
          <t>CONN:ELC;2 WAY;95MM2;PC;350A;GY</t>
        </is>
      </c>
      <c r="P463" s="5" t="inlineStr">
        <is>
          <t>NA</t>
        </is>
      </c>
      <c r="Q463" s="13" t="inlineStr">
        <is>
          <t>NA</t>
        </is>
      </c>
      <c r="R463" s="7" t="n">
        <v>1</v>
      </c>
      <c r="S463" s="7">
        <f>IFERROR($R463/$G463,"")</f>
        <v/>
      </c>
      <c r="T463" s="7" t="inlineStr">
        <is>
          <t>NA</t>
        </is>
      </c>
      <c r="U463" s="7" t="inlineStr">
        <is>
          <t>NA</t>
        </is>
      </c>
      <c r="V463" s="7" t="inlineStr">
        <is>
          <t>NA</t>
        </is>
      </c>
      <c r="W463" s="9">
        <f>IF(ISNUMBER($T463),$T463*$J463*Assumptions!$B$4,"NA")</f>
        <v/>
      </c>
      <c r="X463" s="9">
        <f>IF(ISNUMBER($U463),$U463*$J463*Assumptions!$B$4,"NA")</f>
        <v/>
      </c>
      <c r="Y463" s="9">
        <f>IF(ISNUMBER($V463),$V463*$J463*Assumptions!$B$4,"NA")</f>
        <v/>
      </c>
    </row>
    <row r="464">
      <c r="A464" s="5" t="inlineStr">
        <is>
          <t>SSB Parts</t>
        </is>
      </c>
      <c r="B464" s="5" t="inlineStr">
        <is>
          <t>Electrical</t>
        </is>
      </c>
      <c r="C464" s="5" t="inlineStr">
        <is>
          <t>MSM Group LLC</t>
        </is>
      </c>
      <c r="D464" s="5" t="inlineStr">
        <is>
          <t>Trader/Distributor</t>
        </is>
      </c>
      <c r="E464" s="5" t="inlineStr">
        <is>
          <t>Mongolia</t>
        </is>
      </c>
      <c r="F464" s="5" t="n">
        <v>2025</v>
      </c>
      <c r="G464" s="5" t="n">
        <v>7</v>
      </c>
      <c r="H464" s="7" t="n">
        <v>59.46</v>
      </c>
      <c r="I464" s="5" t="inlineStr">
        <is>
          <t>USD</t>
        </is>
      </c>
      <c r="J464" s="8">
        <f>IF($I464="AUD",Assumptions!$B$2,Assumptions!$B$3)</f>
        <v/>
      </c>
      <c r="K464" s="9">
        <f>$G464*$H464*$J464</f>
        <v/>
      </c>
      <c r="L464" s="9">
        <f>$K464*Assumptions!$B$4</f>
        <v/>
      </c>
      <c r="M464" s="9">
        <f>RawTx[[#This Row],[Value USD]]/RawTx[[#This Row],[Quantity]]</f>
        <v/>
      </c>
      <c r="N464" s="9">
        <f>RawTx[[#This Row],[Value IDR]]/RawTx[[#This Row],[Quantity]]</f>
        <v/>
      </c>
      <c r="O464" s="4" t="inlineStr">
        <is>
          <t>CONN:ELC;2 WAY;95MM2;PC;350A;GY</t>
        </is>
      </c>
      <c r="P464" s="5" t="inlineStr">
        <is>
          <t>NA</t>
        </is>
      </c>
      <c r="Q464" s="13" t="inlineStr">
        <is>
          <t>NA</t>
        </is>
      </c>
      <c r="R464" s="7" t="n">
        <v>2</v>
      </c>
      <c r="S464" s="7">
        <f>IFERROR($R464/$G464,"")</f>
        <v/>
      </c>
      <c r="T464" s="7" t="inlineStr">
        <is>
          <t>NA</t>
        </is>
      </c>
      <c r="U464" s="7" t="inlineStr">
        <is>
          <t>NA</t>
        </is>
      </c>
      <c r="V464" s="7" t="inlineStr">
        <is>
          <t>NA</t>
        </is>
      </c>
      <c r="W464" s="9">
        <f>IF(ISNUMBER($T464),$T464*$J464*Assumptions!$B$4,"NA")</f>
        <v/>
      </c>
      <c r="X464" s="9">
        <f>IF(ISNUMBER($U464),$U464*$J464*Assumptions!$B$4,"NA")</f>
        <v/>
      </c>
      <c r="Y464" s="9">
        <f>IF(ISNUMBER($V464),$V464*$J464*Assumptions!$B$4,"NA")</f>
        <v/>
      </c>
    </row>
    <row r="465">
      <c r="A465" s="5" t="inlineStr">
        <is>
          <t>SSB Parts</t>
        </is>
      </c>
      <c r="B465" s="5" t="inlineStr">
        <is>
          <t>Electrical</t>
        </is>
      </c>
      <c r="C465" s="5" t="inlineStr">
        <is>
          <t>MSM Group LLC</t>
        </is>
      </c>
      <c r="D465" s="5" t="inlineStr">
        <is>
          <t>Trader/Distributor</t>
        </is>
      </c>
      <c r="E465" s="5" t="inlineStr">
        <is>
          <t>Mongolia</t>
        </is>
      </c>
      <c r="F465" s="5" t="n">
        <v>2025</v>
      </c>
      <c r="G465" s="5" t="n">
        <v>5</v>
      </c>
      <c r="H465" s="7" t="n">
        <v>88.45999999999999</v>
      </c>
      <c r="I465" s="5" t="inlineStr">
        <is>
          <t>USD</t>
        </is>
      </c>
      <c r="J465" s="8">
        <f>IF($I465="AUD",Assumptions!$B$2,Assumptions!$B$3)</f>
        <v/>
      </c>
      <c r="K465" s="9">
        <f>$G465*$H465*$J465</f>
        <v/>
      </c>
      <c r="L465" s="9">
        <f>$K465*Assumptions!$B$4</f>
        <v/>
      </c>
      <c r="M465" s="9">
        <f>RawTx[[#This Row],[Value USD]]/RawTx[[#This Row],[Quantity]]</f>
        <v/>
      </c>
      <c r="N465" s="9">
        <f>RawTx[[#This Row],[Value IDR]]/RawTx[[#This Row],[Quantity]]</f>
        <v/>
      </c>
      <c r="O465" s="4" t="inlineStr">
        <is>
          <t>ALARM,RVSE:97,107,112DB;12-36VDC</t>
        </is>
      </c>
      <c r="P465" s="5" t="inlineStr">
        <is>
          <t>NA</t>
        </is>
      </c>
      <c r="Q465" s="13" t="inlineStr">
        <is>
          <t>NA</t>
        </is>
      </c>
      <c r="R465" s="7" t="n">
        <v>5.47</v>
      </c>
      <c r="S465" s="7">
        <f>IFERROR($R465/$G465,"")</f>
        <v/>
      </c>
      <c r="T465" s="7" t="inlineStr">
        <is>
          <t>NA</t>
        </is>
      </c>
      <c r="U465" s="7" t="inlineStr">
        <is>
          <t>NA</t>
        </is>
      </c>
      <c r="V465" s="7" t="inlineStr">
        <is>
          <t>NA</t>
        </is>
      </c>
      <c r="W465" s="9">
        <f>IF(ISNUMBER($T465),$T465*$J465*Assumptions!$B$4,"NA")</f>
        <v/>
      </c>
      <c r="X465" s="9">
        <f>IF(ISNUMBER($U465),$U465*$J465*Assumptions!$B$4,"NA")</f>
        <v/>
      </c>
      <c r="Y465" s="9">
        <f>IF(ISNUMBER($V465),$V465*$J465*Assumptions!$B$4,"NA")</f>
        <v/>
      </c>
    </row>
    <row r="466">
      <c r="A466" s="5" t="inlineStr">
        <is>
          <t>SSB Parts</t>
        </is>
      </c>
      <c r="B466" s="5" t="inlineStr">
        <is>
          <t>Electrical</t>
        </is>
      </c>
      <c r="C466" s="5" t="inlineStr">
        <is>
          <t>MSM Group LLC</t>
        </is>
      </c>
      <c r="D466" s="5" t="inlineStr">
        <is>
          <t>Trader/Distributor</t>
        </is>
      </c>
      <c r="E466" s="5" t="inlineStr">
        <is>
          <t>Mongolia</t>
        </is>
      </c>
      <c r="F466" s="5" t="n">
        <v>2025</v>
      </c>
      <c r="G466" s="5" t="n">
        <v>243</v>
      </c>
      <c r="H466" s="7" t="n">
        <v>19.65</v>
      </c>
      <c r="I466" s="5" t="inlineStr">
        <is>
          <t>USD</t>
        </is>
      </c>
      <c r="J466" s="8">
        <f>IF($I466="AUD",Assumptions!$B$2,Assumptions!$B$3)</f>
        <v/>
      </c>
      <c r="K466" s="9">
        <f>$G466*$H466*$J466</f>
        <v/>
      </c>
      <c r="L466" s="9">
        <f>$K466*Assumptions!$B$4</f>
        <v/>
      </c>
      <c r="M466" s="9">
        <f>RawTx[[#This Row],[Value USD]]/RawTx[[#This Row],[Quantity]]</f>
        <v/>
      </c>
      <c r="N466" s="9">
        <f>RawTx[[#This Row],[Value IDR]]/RawTx[[#This Row],[Quantity]]</f>
        <v/>
      </c>
      <c r="O466" s="4" t="inlineStr">
        <is>
          <t>CONVEYOR,BELT:RUBBER;6MM;700MM;2PLY</t>
        </is>
      </c>
      <c r="P466" s="5" t="inlineStr">
        <is>
          <t>NA</t>
        </is>
      </c>
      <c r="Q466" s="13" t="inlineStr">
        <is>
          <t>NA</t>
        </is>
      </c>
      <c r="R466" s="7" t="n">
        <v>1900</v>
      </c>
      <c r="S466" s="7">
        <f>IFERROR($R466/$G466,"")</f>
        <v/>
      </c>
      <c r="T466" s="7" t="inlineStr">
        <is>
          <t>NA</t>
        </is>
      </c>
      <c r="U466" s="7" t="inlineStr">
        <is>
          <t>NA</t>
        </is>
      </c>
      <c r="V466" s="7" t="inlineStr">
        <is>
          <t>NA</t>
        </is>
      </c>
      <c r="W466" s="9">
        <f>IF(ISNUMBER($T466),$T466*$J466*Assumptions!$B$4,"NA")</f>
        <v/>
      </c>
      <c r="X466" s="9">
        <f>IF(ISNUMBER($U466),$U466*$J466*Assumptions!$B$4,"NA")</f>
        <v/>
      </c>
      <c r="Y466" s="9">
        <f>IF(ISNUMBER($V466),$V466*$J466*Assumptions!$B$4,"NA")</f>
        <v/>
      </c>
    </row>
    <row r="467">
      <c r="A467" s="5" t="inlineStr">
        <is>
          <t>SSB Parts</t>
        </is>
      </c>
      <c r="B467" s="5" t="inlineStr">
        <is>
          <t>Electrical</t>
        </is>
      </c>
      <c r="C467" s="5" t="inlineStr">
        <is>
          <t>MSM Group LLC</t>
        </is>
      </c>
      <c r="D467" s="5" t="inlineStr">
        <is>
          <t>Trader/Distributor</t>
        </is>
      </c>
      <c r="E467" s="5" t="inlineStr">
        <is>
          <t>Mongolia</t>
        </is>
      </c>
      <c r="F467" s="5" t="n">
        <v>2025</v>
      </c>
      <c r="G467" s="5" t="n">
        <v>6</v>
      </c>
      <c r="H467" s="7" t="n">
        <v>9.49</v>
      </c>
      <c r="I467" s="5" t="inlineStr">
        <is>
          <t>USD</t>
        </is>
      </c>
      <c r="J467" s="8">
        <f>IF($I467="AUD",Assumptions!$B$2,Assumptions!$B$3)</f>
        <v/>
      </c>
      <c r="K467" s="9">
        <f>$G467*$H467*$J467</f>
        <v/>
      </c>
      <c r="L467" s="9">
        <f>$K467*Assumptions!$B$4</f>
        <v/>
      </c>
      <c r="M467" s="9">
        <f>RawTx[[#This Row],[Value USD]]/RawTx[[#This Row],[Quantity]]</f>
        <v/>
      </c>
      <c r="N467" s="9">
        <f>RawTx[[#This Row],[Value IDR]]/RawTx[[#This Row],[Quantity]]</f>
        <v/>
      </c>
      <c r="O467" s="4" t="inlineStr">
        <is>
          <t>FUSE,CARTRIDGE:200A SLOW BLOW;81X22MM</t>
        </is>
      </c>
      <c r="P467" s="5" t="inlineStr">
        <is>
          <t>NA</t>
        </is>
      </c>
      <c r="Q467" s="13" t="inlineStr">
        <is>
          <t>NA</t>
        </is>
      </c>
      <c r="R467" s="7" t="n">
        <v>3.42</v>
      </c>
      <c r="S467" s="7">
        <f>IFERROR($R467/$G467,"")</f>
        <v/>
      </c>
      <c r="T467" s="7" t="inlineStr">
        <is>
          <t>NA</t>
        </is>
      </c>
      <c r="U467" s="7" t="inlineStr">
        <is>
          <t>NA</t>
        </is>
      </c>
      <c r="V467" s="7" t="inlineStr">
        <is>
          <t>NA</t>
        </is>
      </c>
      <c r="W467" s="9">
        <f>IF(ISNUMBER($T467),$T467*$J467*Assumptions!$B$4,"NA")</f>
        <v/>
      </c>
      <c r="X467" s="9">
        <f>IF(ISNUMBER($U467),$U467*$J467*Assumptions!$B$4,"NA")</f>
        <v/>
      </c>
      <c r="Y467" s="9">
        <f>IF(ISNUMBER($V467),$V467*$J467*Assumptions!$B$4,"NA")</f>
        <v/>
      </c>
    </row>
    <row r="468">
      <c r="A468" s="5" t="inlineStr">
        <is>
          <t>SSB Parts</t>
        </is>
      </c>
      <c r="B468" s="5" t="inlineStr">
        <is>
          <t>Electrical</t>
        </is>
      </c>
      <c r="C468" s="5" t="inlineStr">
        <is>
          <t>MSM Group LLC</t>
        </is>
      </c>
      <c r="D468" s="5" t="inlineStr">
        <is>
          <t>Trader/Distributor</t>
        </is>
      </c>
      <c r="E468" s="5" t="inlineStr">
        <is>
          <t>Mongolia</t>
        </is>
      </c>
      <c r="F468" s="5" t="n">
        <v>2025</v>
      </c>
      <c r="G468" s="5" t="n">
        <v>6</v>
      </c>
      <c r="H468" s="7" t="n">
        <v>3.17</v>
      </c>
      <c r="I468" s="5" t="inlineStr">
        <is>
          <t>USD</t>
        </is>
      </c>
      <c r="J468" s="8">
        <f>IF($I468="AUD",Assumptions!$B$2,Assumptions!$B$3)</f>
        <v/>
      </c>
      <c r="K468" s="9">
        <f>$G468*$H468*$J468</f>
        <v/>
      </c>
      <c r="L468" s="9">
        <f>$K468*Assumptions!$B$4</f>
        <v/>
      </c>
      <c r="M468" s="9">
        <f>RawTx[[#This Row],[Value USD]]/RawTx[[#This Row],[Quantity]]</f>
        <v/>
      </c>
      <c r="N468" s="9">
        <f>RawTx[[#This Row],[Value IDR]]/RawTx[[#This Row],[Quantity]]</f>
        <v/>
      </c>
      <c r="O468" s="4" t="inlineStr">
        <is>
          <t>CABLE,AUTO: 5 CORE X 1.5MM2;AUTO;7.8MM</t>
        </is>
      </c>
      <c r="P468" s="5" t="inlineStr">
        <is>
          <t>NA</t>
        </is>
      </c>
      <c r="Q468" s="13" t="inlineStr">
        <is>
          <t>NA</t>
        </is>
      </c>
      <c r="R468" s="7" t="n">
        <v>0.33</v>
      </c>
      <c r="S468" s="7">
        <f>IFERROR($R468/$G468,"")</f>
        <v/>
      </c>
      <c r="T468" s="7" t="inlineStr">
        <is>
          <t>NA</t>
        </is>
      </c>
      <c r="U468" s="7" t="inlineStr">
        <is>
          <t>NA</t>
        </is>
      </c>
      <c r="V468" s="7" t="inlineStr">
        <is>
          <t>NA</t>
        </is>
      </c>
      <c r="W468" s="9">
        <f>IF(ISNUMBER($T468),$T468*$J468*Assumptions!$B$4,"NA")</f>
        <v/>
      </c>
      <c r="X468" s="9">
        <f>IF(ISNUMBER($U468),$U468*$J468*Assumptions!$B$4,"NA")</f>
        <v/>
      </c>
      <c r="Y468" s="9">
        <f>IF(ISNUMBER($V468),$V468*$J468*Assumptions!$B$4,"NA")</f>
        <v/>
      </c>
    </row>
    <row r="469">
      <c r="A469" s="5" t="inlineStr">
        <is>
          <t>SSB Parts</t>
        </is>
      </c>
      <c r="B469" s="5" t="inlineStr">
        <is>
          <t>Electrical</t>
        </is>
      </c>
      <c r="C469" s="5" t="inlineStr">
        <is>
          <t>MSM Group LLC</t>
        </is>
      </c>
      <c r="D469" s="5" t="inlineStr">
        <is>
          <t>Trader/Distributor</t>
        </is>
      </c>
      <c r="E469" s="5" t="inlineStr">
        <is>
          <t>Mongolia</t>
        </is>
      </c>
      <c r="F469" s="5" t="n">
        <v>2025</v>
      </c>
      <c r="G469" s="5" t="n">
        <v>6</v>
      </c>
      <c r="H469" s="7" t="n">
        <v>35.58</v>
      </c>
      <c r="I469" s="5" t="inlineStr">
        <is>
          <t>USD</t>
        </is>
      </c>
      <c r="J469" s="8">
        <f>IF($I469="AUD",Assumptions!$B$2,Assumptions!$B$3)</f>
        <v/>
      </c>
      <c r="K469" s="9">
        <f>$G469*$H469*$J469</f>
        <v/>
      </c>
      <c r="L469" s="9">
        <f>$K469*Assumptions!$B$4</f>
        <v/>
      </c>
      <c r="M469" s="9">
        <f>RawTx[[#This Row],[Value USD]]/RawTx[[#This Row],[Quantity]]</f>
        <v/>
      </c>
      <c r="N469" s="9">
        <f>RawTx[[#This Row],[Value IDR]]/RawTx[[#This Row],[Quantity]]</f>
        <v/>
      </c>
      <c r="O469" s="4" t="inlineStr">
        <is>
          <t>FUSE HOLDER:ANL;250A;80V;SINGLE;155MM</t>
        </is>
      </c>
      <c r="P469" s="5" t="inlineStr">
        <is>
          <t>NA</t>
        </is>
      </c>
      <c r="Q469" s="13" t="inlineStr">
        <is>
          <t>NA</t>
        </is>
      </c>
      <c r="R469" s="7" t="n">
        <v>12.81</v>
      </c>
      <c r="S469" s="7">
        <f>IFERROR($R469/$G469,"")</f>
        <v/>
      </c>
      <c r="T469" s="7" t="inlineStr">
        <is>
          <t>NA</t>
        </is>
      </c>
      <c r="U469" s="7" t="inlineStr">
        <is>
          <t>NA</t>
        </is>
      </c>
      <c r="V469" s="7" t="inlineStr">
        <is>
          <t>NA</t>
        </is>
      </c>
      <c r="W469" s="9">
        <f>IF(ISNUMBER($T469),$T469*$J469*Assumptions!$B$4,"NA")</f>
        <v/>
      </c>
      <c r="X469" s="9">
        <f>IF(ISNUMBER($U469),$U469*$J469*Assumptions!$B$4,"NA")</f>
        <v/>
      </c>
      <c r="Y469" s="9">
        <f>IF(ISNUMBER($V469),$V469*$J469*Assumptions!$B$4,"NA")</f>
        <v/>
      </c>
    </row>
    <row r="470">
      <c r="A470" s="5" t="inlineStr">
        <is>
          <t>SSB Parts</t>
        </is>
      </c>
      <c r="B470" s="5" t="inlineStr">
        <is>
          <t>Electrical</t>
        </is>
      </c>
      <c r="C470" s="5" t="inlineStr">
        <is>
          <t>MSM Group LLC</t>
        </is>
      </c>
      <c r="D470" s="5" t="inlineStr">
        <is>
          <t>Trader/Distributor</t>
        </is>
      </c>
      <c r="E470" s="5" t="inlineStr">
        <is>
          <t>Mongolia</t>
        </is>
      </c>
      <c r="F470" s="5" t="n">
        <v>2025</v>
      </c>
      <c r="G470" s="5" t="n">
        <v>6</v>
      </c>
      <c r="H470" s="7" t="n">
        <v>42.69</v>
      </c>
      <c r="I470" s="5" t="inlineStr">
        <is>
          <t>USD</t>
        </is>
      </c>
      <c r="J470" s="8">
        <f>IF($I470="AUD",Assumptions!$B$2,Assumptions!$B$3)</f>
        <v/>
      </c>
      <c r="K470" s="9">
        <f>$G470*$H470*$J470</f>
        <v/>
      </c>
      <c r="L470" s="9">
        <f>$K470*Assumptions!$B$4</f>
        <v/>
      </c>
      <c r="M470" s="9">
        <f>RawTx[[#This Row],[Value USD]]/RawTx[[#This Row],[Quantity]]</f>
        <v/>
      </c>
      <c r="N470" s="9">
        <f>RawTx[[#This Row],[Value IDR]]/RawTx[[#This Row],[Quantity]]</f>
        <v/>
      </c>
      <c r="O470" s="4" t="inlineStr">
        <is>
          <t>CABLE,AUTO:1 CORE X 4.0MM2;RD</t>
        </is>
      </c>
      <c r="P470" s="5" t="inlineStr">
        <is>
          <t>NA</t>
        </is>
      </c>
      <c r="Q470" s="13" t="inlineStr">
        <is>
          <t>NA</t>
        </is>
      </c>
      <c r="R470" s="7" t="n">
        <v>15.37</v>
      </c>
      <c r="S470" s="7">
        <f>IFERROR($R470/$G470,"")</f>
        <v/>
      </c>
      <c r="T470" s="7" t="inlineStr">
        <is>
          <t>NA</t>
        </is>
      </c>
      <c r="U470" s="7" t="inlineStr">
        <is>
          <t>NA</t>
        </is>
      </c>
      <c r="V470" s="7" t="inlineStr">
        <is>
          <t>NA</t>
        </is>
      </c>
      <c r="W470" s="9">
        <f>IF(ISNUMBER($T470),$T470*$J470*Assumptions!$B$4,"NA")</f>
        <v/>
      </c>
      <c r="X470" s="9">
        <f>IF(ISNUMBER($U470),$U470*$J470*Assumptions!$B$4,"NA")</f>
        <v/>
      </c>
      <c r="Y470" s="9">
        <f>IF(ISNUMBER($V470),$V470*$J470*Assumptions!$B$4,"NA")</f>
        <v/>
      </c>
    </row>
    <row r="471">
      <c r="A471" s="5" t="inlineStr">
        <is>
          <t>SSB Parts</t>
        </is>
      </c>
      <c r="B471" s="5" t="inlineStr">
        <is>
          <t>Electrical</t>
        </is>
      </c>
      <c r="C471" s="5" t="inlineStr">
        <is>
          <t>MSM Group LLC</t>
        </is>
      </c>
      <c r="D471" s="5" t="inlineStr">
        <is>
          <t>Trader/Distributor</t>
        </is>
      </c>
      <c r="E471" s="5" t="inlineStr">
        <is>
          <t>Mongolia</t>
        </is>
      </c>
      <c r="F471" s="5" t="n">
        <v>2025</v>
      </c>
      <c r="G471" s="5" t="n">
        <v>6</v>
      </c>
      <c r="H471" s="7" t="n">
        <v>15.28</v>
      </c>
      <c r="I471" s="5" t="inlineStr">
        <is>
          <t>USD</t>
        </is>
      </c>
      <c r="J471" s="8">
        <f>IF($I471="AUD",Assumptions!$B$2,Assumptions!$B$3)</f>
        <v/>
      </c>
      <c r="K471" s="9">
        <f>$G471*$H471*$J471</f>
        <v/>
      </c>
      <c r="L471" s="9">
        <f>$K471*Assumptions!$B$4</f>
        <v/>
      </c>
      <c r="M471" s="9">
        <f>RawTx[[#This Row],[Value USD]]/RawTx[[#This Row],[Quantity]]</f>
        <v/>
      </c>
      <c r="N471" s="9">
        <f>RawTx[[#This Row],[Value IDR]]/RawTx[[#This Row],[Quantity]]</f>
        <v/>
      </c>
      <c r="O471" s="4" t="inlineStr">
        <is>
          <t>CONN:CABLE;12WAY;DT KIT W/SOLID TERM;GY</t>
        </is>
      </c>
      <c r="P471" s="5" t="inlineStr">
        <is>
          <t>NA</t>
        </is>
      </c>
      <c r="Q471" s="13" t="inlineStr">
        <is>
          <t>NA</t>
        </is>
      </c>
      <c r="R471" s="7" t="n">
        <v>5.5</v>
      </c>
      <c r="S471" s="7">
        <f>IFERROR($R471/$G471,"")</f>
        <v/>
      </c>
      <c r="T471" s="7" t="inlineStr">
        <is>
          <t>NA</t>
        </is>
      </c>
      <c r="U471" s="7" t="inlineStr">
        <is>
          <t>NA</t>
        </is>
      </c>
      <c r="V471" s="7" t="inlineStr">
        <is>
          <t>NA</t>
        </is>
      </c>
      <c r="W471" s="9">
        <f>IF(ISNUMBER($T471),$T471*$J471*Assumptions!$B$4,"NA")</f>
        <v/>
      </c>
      <c r="X471" s="9">
        <f>IF(ISNUMBER($U471),$U471*$J471*Assumptions!$B$4,"NA")</f>
        <v/>
      </c>
      <c r="Y471" s="9">
        <f>IF(ISNUMBER($V471),$V471*$J471*Assumptions!$B$4,"NA")</f>
        <v/>
      </c>
    </row>
    <row r="472">
      <c r="A472" s="5" t="inlineStr">
        <is>
          <t>SSB Parts</t>
        </is>
      </c>
      <c r="B472" s="5" t="inlineStr">
        <is>
          <t>Electrical</t>
        </is>
      </c>
      <c r="C472" s="5" t="inlineStr">
        <is>
          <t>MSM Group LLC</t>
        </is>
      </c>
      <c r="D472" s="5" t="inlineStr">
        <is>
          <t>Trader/Distributor</t>
        </is>
      </c>
      <c r="E472" s="5" t="inlineStr">
        <is>
          <t>Mongolia</t>
        </is>
      </c>
      <c r="F472" s="5" t="n">
        <v>2025</v>
      </c>
      <c r="G472" s="5" t="n">
        <v>6</v>
      </c>
      <c r="H472" s="7" t="n">
        <v>0.98</v>
      </c>
      <c r="I472" s="5" t="inlineStr">
        <is>
          <t>USD</t>
        </is>
      </c>
      <c r="J472" s="8">
        <f>IF($I472="AUD",Assumptions!$B$2,Assumptions!$B$3)</f>
        <v/>
      </c>
      <c r="K472" s="9">
        <f>$G472*$H472*$J472</f>
        <v/>
      </c>
      <c r="L472" s="9">
        <f>$K472*Assumptions!$B$4</f>
        <v/>
      </c>
      <c r="M472" s="9">
        <f>RawTx[[#This Row],[Value USD]]/RawTx[[#This Row],[Quantity]]</f>
        <v/>
      </c>
      <c r="N472" s="9">
        <f>RawTx[[#This Row],[Value IDR]]/RawTx[[#This Row],[Quantity]]</f>
        <v/>
      </c>
      <c r="O472" s="4" t="inlineStr">
        <is>
          <t>COVER,ACCESS:02.3505.20.00;BPW</t>
        </is>
      </c>
      <c r="P472" s="5" t="inlineStr">
        <is>
          <t>NA</t>
        </is>
      </c>
      <c r="Q472" s="13" t="inlineStr">
        <is>
          <t>NA</t>
        </is>
      </c>
      <c r="R472" s="7" t="n">
        <v>0.79</v>
      </c>
      <c r="S472" s="7">
        <f>IFERROR($R472/$G472,"")</f>
        <v/>
      </c>
      <c r="T472" s="7" t="inlineStr">
        <is>
          <t>NA</t>
        </is>
      </c>
      <c r="U472" s="7" t="inlineStr">
        <is>
          <t>NA</t>
        </is>
      </c>
      <c r="V472" s="7" t="inlineStr">
        <is>
          <t>NA</t>
        </is>
      </c>
      <c r="W472" s="9">
        <f>IF(ISNUMBER($T472),$T472*$J472*Assumptions!$B$4,"NA")</f>
        <v/>
      </c>
      <c r="X472" s="9">
        <f>IF(ISNUMBER($U472),$U472*$J472*Assumptions!$B$4,"NA")</f>
        <v/>
      </c>
      <c r="Y472" s="9">
        <f>IF(ISNUMBER($V472),$V472*$J472*Assumptions!$B$4,"NA")</f>
        <v/>
      </c>
    </row>
    <row r="473">
      <c r="A473" s="5" t="inlineStr">
        <is>
          <t>SSB Parts</t>
        </is>
      </c>
      <c r="B473" s="5" t="inlineStr">
        <is>
          <t>Electrical</t>
        </is>
      </c>
      <c r="C473" s="5" t="inlineStr">
        <is>
          <t>MSM Group LLC</t>
        </is>
      </c>
      <c r="D473" s="5" t="inlineStr">
        <is>
          <t>Trader/Distributor</t>
        </is>
      </c>
      <c r="E473" s="5" t="inlineStr">
        <is>
          <t>Mongolia</t>
        </is>
      </c>
      <c r="F473" s="5" t="n">
        <v>2025</v>
      </c>
      <c r="G473" s="5" t="n">
        <v>10</v>
      </c>
      <c r="H473" s="7" t="n">
        <v>44.61</v>
      </c>
      <c r="I473" s="5" t="inlineStr">
        <is>
          <t>USD</t>
        </is>
      </c>
      <c r="J473" s="8">
        <f>IF($I473="AUD",Assumptions!$B$2,Assumptions!$B$3)</f>
        <v/>
      </c>
      <c r="K473" s="9">
        <f>$G473*$H473*$J473</f>
        <v/>
      </c>
      <c r="L473" s="9">
        <f>$K473*Assumptions!$B$4</f>
        <v/>
      </c>
      <c r="M473" s="9">
        <f>RawTx[[#This Row],[Value USD]]/RawTx[[#This Row],[Quantity]]</f>
        <v/>
      </c>
      <c r="N473" s="9">
        <f>RawTx[[#This Row],[Value IDR]]/RawTx[[#This Row],[Quantity]]</f>
        <v/>
      </c>
      <c r="O473" s="4" t="inlineStr">
        <is>
          <t>FILTER ELEMN,FLUID:EA4925;PALFINGER</t>
        </is>
      </c>
      <c r="P473" s="5" t="inlineStr">
        <is>
          <t>NA</t>
        </is>
      </c>
      <c r="Q473" s="13" t="inlineStr">
        <is>
          <t>NA</t>
        </is>
      </c>
      <c r="R473" s="7" t="n">
        <v>3</v>
      </c>
      <c r="S473" s="7">
        <f>IFERROR($R473/$G473,"")</f>
        <v/>
      </c>
      <c r="T473" s="7" t="inlineStr">
        <is>
          <t>NA</t>
        </is>
      </c>
      <c r="U473" s="7" t="inlineStr">
        <is>
          <t>NA</t>
        </is>
      </c>
      <c r="V473" s="7" t="inlineStr">
        <is>
          <t>NA</t>
        </is>
      </c>
      <c r="W473" s="9">
        <f>IF(ISNUMBER($T473),$T473*$J473*Assumptions!$B$4,"NA")</f>
        <v/>
      </c>
      <c r="X473" s="9">
        <f>IF(ISNUMBER($U473),$U473*$J473*Assumptions!$B$4,"NA")</f>
        <v/>
      </c>
      <c r="Y473" s="9">
        <f>IF(ISNUMBER($V473),$V473*$J473*Assumptions!$B$4,"NA")</f>
        <v/>
      </c>
    </row>
    <row r="474">
      <c r="A474" s="5" t="inlineStr">
        <is>
          <t>SSB Parts</t>
        </is>
      </c>
      <c r="B474" s="5" t="inlineStr">
        <is>
          <t>Electrical</t>
        </is>
      </c>
      <c r="C474" s="5" t="inlineStr">
        <is>
          <t>MSM Group LLC</t>
        </is>
      </c>
      <c r="D474" s="5" t="inlineStr">
        <is>
          <t>Trader/Distributor</t>
        </is>
      </c>
      <c r="E474" s="5" t="inlineStr">
        <is>
          <t>Mongolia</t>
        </is>
      </c>
      <c r="F474" s="5" t="n">
        <v>2025</v>
      </c>
      <c r="G474" s="5" t="n">
        <v>12</v>
      </c>
      <c r="H474" s="7" t="n">
        <v>0.32</v>
      </c>
      <c r="I474" s="5" t="inlineStr">
        <is>
          <t>USD</t>
        </is>
      </c>
      <c r="J474" s="8">
        <f>IF($I474="AUD",Assumptions!$B$2,Assumptions!$B$3)</f>
        <v/>
      </c>
      <c r="K474" s="9">
        <f>$G474*$H474*$J474</f>
        <v/>
      </c>
      <c r="L474" s="9">
        <f>$K474*Assumptions!$B$4</f>
        <v/>
      </c>
      <c r="M474" s="9">
        <f>RawTx[[#This Row],[Value USD]]/RawTx[[#This Row],[Quantity]]</f>
        <v/>
      </c>
      <c r="N474" s="9">
        <f>RawTx[[#This Row],[Value IDR]]/RawTx[[#This Row],[Quantity]]</f>
        <v/>
      </c>
      <c r="O474" s="4" t="inlineStr">
        <is>
          <t>CABLE,AUTO:1 COREX 0.75MM2;RD</t>
        </is>
      </c>
      <c r="P474" s="5" t="inlineStr">
        <is>
          <t>NA</t>
        </is>
      </c>
      <c r="Q474" s="13" t="inlineStr">
        <is>
          <t>NA</t>
        </is>
      </c>
      <c r="R474" s="7" t="n">
        <v>0.23</v>
      </c>
      <c r="S474" s="7">
        <f>IFERROR($R474/$G474,"")</f>
        <v/>
      </c>
      <c r="T474" s="7" t="inlineStr">
        <is>
          <t>NA</t>
        </is>
      </c>
      <c r="U474" s="7" t="inlineStr">
        <is>
          <t>NA</t>
        </is>
      </c>
      <c r="V474" s="7" t="inlineStr">
        <is>
          <t>NA</t>
        </is>
      </c>
      <c r="W474" s="9">
        <f>IF(ISNUMBER($T474),$T474*$J474*Assumptions!$B$4,"NA")</f>
        <v/>
      </c>
      <c r="X474" s="9">
        <f>IF(ISNUMBER($U474),$U474*$J474*Assumptions!$B$4,"NA")</f>
        <v/>
      </c>
      <c r="Y474" s="9">
        <f>IF(ISNUMBER($V474),$V474*$J474*Assumptions!$B$4,"NA")</f>
        <v/>
      </c>
    </row>
    <row r="475">
      <c r="A475" s="5" t="inlineStr">
        <is>
          <t>SSB Parts</t>
        </is>
      </c>
      <c r="B475" s="5" t="inlineStr">
        <is>
          <t>Electrical</t>
        </is>
      </c>
      <c r="C475" s="5" t="inlineStr">
        <is>
          <t>MSM Group LLC</t>
        </is>
      </c>
      <c r="D475" s="5" t="inlineStr">
        <is>
          <t>Trader/Distributor</t>
        </is>
      </c>
      <c r="E475" s="5" t="inlineStr">
        <is>
          <t>Mongolia</t>
        </is>
      </c>
      <c r="F475" s="5" t="n">
        <v>2025</v>
      </c>
      <c r="G475" s="5" t="n">
        <v>6</v>
      </c>
      <c r="H475" s="7" t="n">
        <v>1.42</v>
      </c>
      <c r="I475" s="5" t="inlineStr">
        <is>
          <t>USD</t>
        </is>
      </c>
      <c r="J475" s="8">
        <f>IF($I475="AUD",Assumptions!$B$2,Assumptions!$B$3)</f>
        <v/>
      </c>
      <c r="K475" s="9">
        <f>$G475*$H475*$J475</f>
        <v/>
      </c>
      <c r="L475" s="9">
        <f>$K475*Assumptions!$B$4</f>
        <v/>
      </c>
      <c r="M475" s="9">
        <f>RawTx[[#This Row],[Value USD]]/RawTx[[#This Row],[Quantity]]</f>
        <v/>
      </c>
      <c r="N475" s="9">
        <f>RawTx[[#This Row],[Value IDR]]/RawTx[[#This Row],[Quantity]]</f>
        <v/>
      </c>
      <c r="O475" s="4" t="inlineStr">
        <is>
          <t>CABLE,PWR ELEC:NYAF;1COREX4MM2;BK</t>
        </is>
      </c>
      <c r="P475" s="5" t="inlineStr">
        <is>
          <t>NA</t>
        </is>
      </c>
      <c r="Q475" s="13" t="inlineStr">
        <is>
          <t>NA</t>
        </is>
      </c>
      <c r="R475" s="7" t="n">
        <v>0.51</v>
      </c>
      <c r="S475" s="7">
        <f>IFERROR($R475/$G475,"")</f>
        <v/>
      </c>
      <c r="T475" s="7" t="inlineStr">
        <is>
          <t>NA</t>
        </is>
      </c>
      <c r="U475" s="7" t="inlineStr">
        <is>
          <t>NA</t>
        </is>
      </c>
      <c r="V475" s="7" t="inlineStr">
        <is>
          <t>NA</t>
        </is>
      </c>
      <c r="W475" s="9">
        <f>IF(ISNUMBER($T475),$T475*$J475*Assumptions!$B$4,"NA")</f>
        <v/>
      </c>
      <c r="X475" s="9">
        <f>IF(ISNUMBER($U475),$U475*$J475*Assumptions!$B$4,"NA")</f>
        <v/>
      </c>
      <c r="Y475" s="9">
        <f>IF(ISNUMBER($V475),$V475*$J475*Assumptions!$B$4,"NA")</f>
        <v/>
      </c>
    </row>
    <row r="476">
      <c r="A476" s="5" t="inlineStr">
        <is>
          <t>SSB Parts</t>
        </is>
      </c>
      <c r="B476" s="5" t="inlineStr">
        <is>
          <t>Electrical</t>
        </is>
      </c>
      <c r="C476" s="5" t="inlineStr">
        <is>
          <t>MSM Group LLC</t>
        </is>
      </c>
      <c r="D476" s="5" t="inlineStr">
        <is>
          <t>Trader/Distributor</t>
        </is>
      </c>
      <c r="E476" s="5" t="inlineStr">
        <is>
          <t>Mongolia</t>
        </is>
      </c>
      <c r="F476" s="5" t="n">
        <v>2025</v>
      </c>
      <c r="G476" s="5" t="n">
        <v>6</v>
      </c>
      <c r="H476" s="7" t="n">
        <v>6.77</v>
      </c>
      <c r="I476" s="5" t="inlineStr">
        <is>
          <t>USD</t>
        </is>
      </c>
      <c r="J476" s="8">
        <f>IF($I476="AUD",Assumptions!$B$2,Assumptions!$B$3)</f>
        <v/>
      </c>
      <c r="K476" s="9">
        <f>$G476*$H476*$J476</f>
        <v/>
      </c>
      <c r="L476" s="9">
        <f>$K476*Assumptions!$B$4</f>
        <v/>
      </c>
      <c r="M476" s="9">
        <f>RawTx[[#This Row],[Value USD]]/RawTx[[#This Row],[Quantity]]</f>
        <v/>
      </c>
      <c r="N476" s="9">
        <f>RawTx[[#This Row],[Value IDR]]/RawTx[[#This Row],[Quantity]]</f>
        <v/>
      </c>
      <c r="O476" s="4" t="inlineStr">
        <is>
          <t>CONDUIT,FLX:CORRUGATED;NYLON PA6;16MM;BK</t>
        </is>
      </c>
      <c r="P476" s="5" t="inlineStr">
        <is>
          <t>NA</t>
        </is>
      </c>
      <c r="Q476" s="13" t="inlineStr">
        <is>
          <t>NA</t>
        </is>
      </c>
      <c r="R476" s="7" t="n">
        <v>0.87</v>
      </c>
      <c r="S476" s="7">
        <f>IFERROR($R476/$G476,"")</f>
        <v/>
      </c>
      <c r="T476" s="7" t="inlineStr">
        <is>
          <t>NA</t>
        </is>
      </c>
      <c r="U476" s="7" t="inlineStr">
        <is>
          <t>NA</t>
        </is>
      </c>
      <c r="V476" s="7" t="inlineStr">
        <is>
          <t>NA</t>
        </is>
      </c>
      <c r="W476" s="9">
        <f>IF(ISNUMBER($T476),$T476*$J476*Assumptions!$B$4,"NA")</f>
        <v/>
      </c>
      <c r="X476" s="9">
        <f>IF(ISNUMBER($U476),$U476*$J476*Assumptions!$B$4,"NA")</f>
        <v/>
      </c>
      <c r="Y476" s="9">
        <f>IF(ISNUMBER($V476),$V476*$J476*Assumptions!$B$4,"NA")</f>
        <v/>
      </c>
    </row>
    <row r="477">
      <c r="A477" s="5" t="inlineStr">
        <is>
          <t>SSB Parts</t>
        </is>
      </c>
      <c r="B477" s="5" t="inlineStr">
        <is>
          <t>Electrical</t>
        </is>
      </c>
      <c r="C477" s="5" t="inlineStr">
        <is>
          <t>MSM Group LLC</t>
        </is>
      </c>
      <c r="D477" s="5" t="inlineStr">
        <is>
          <t>Trader/Distributor</t>
        </is>
      </c>
      <c r="E477" s="5" t="inlineStr">
        <is>
          <t>Mongolia</t>
        </is>
      </c>
      <c r="F477" s="5" t="n">
        <v>2025</v>
      </c>
      <c r="G477" s="5" t="n">
        <v>6</v>
      </c>
      <c r="H477" s="7" t="n">
        <v>416.85</v>
      </c>
      <c r="I477" s="5" t="inlineStr">
        <is>
          <t>USD</t>
        </is>
      </c>
      <c r="J477" s="8">
        <f>IF($I477="AUD",Assumptions!$B$2,Assumptions!$B$3)</f>
        <v/>
      </c>
      <c r="K477" s="9">
        <f>$G477*$H477*$J477</f>
        <v/>
      </c>
      <c r="L477" s="9">
        <f>$K477*Assumptions!$B$4</f>
        <v/>
      </c>
      <c r="M477" s="9">
        <f>RawTx[[#This Row],[Value USD]]/RawTx[[#This Row],[Quantity]]</f>
        <v/>
      </c>
      <c r="N477" s="9">
        <f>RawTx[[#This Row],[Value IDR]]/RawTx[[#This Row],[Quantity]]</f>
        <v/>
      </c>
      <c r="O477" s="4" t="inlineStr">
        <is>
          <t>LAMP VHC:12-24V DC;S0W;BK;WORK LAMP;AL</t>
        </is>
      </c>
      <c r="P477" s="5" t="inlineStr">
        <is>
          <t>NA</t>
        </is>
      </c>
      <c r="Q477" s="13" t="inlineStr">
        <is>
          <t>NA</t>
        </is>
      </c>
      <c r="R477" s="7" t="n">
        <v>9.1</v>
      </c>
      <c r="S477" s="7">
        <f>IFERROR($R477/$G477,"")</f>
        <v/>
      </c>
      <c r="T477" s="7" t="inlineStr">
        <is>
          <t>NA</t>
        </is>
      </c>
      <c r="U477" s="7" t="inlineStr">
        <is>
          <t>NA</t>
        </is>
      </c>
      <c r="V477" s="7" t="inlineStr">
        <is>
          <t>NA</t>
        </is>
      </c>
      <c r="W477" s="9">
        <f>IF(ISNUMBER($T477),$T477*$J477*Assumptions!$B$4,"NA")</f>
        <v/>
      </c>
      <c r="X477" s="9">
        <f>IF(ISNUMBER($U477),$U477*$J477*Assumptions!$B$4,"NA")</f>
        <v/>
      </c>
      <c r="Y477" s="9">
        <f>IF(ISNUMBER($V477),$V477*$J477*Assumptions!$B$4,"NA")</f>
        <v/>
      </c>
    </row>
    <row r="478">
      <c r="A478" s="5" t="inlineStr">
        <is>
          <t>SSB Parts</t>
        </is>
      </c>
      <c r="B478" s="5" t="inlineStr">
        <is>
          <t>Electrical</t>
        </is>
      </c>
      <c r="C478" s="5" t="inlineStr">
        <is>
          <t>MSM Group LLC</t>
        </is>
      </c>
      <c r="D478" s="5" t="inlineStr">
        <is>
          <t>Trader/Distributor</t>
        </is>
      </c>
      <c r="E478" s="5" t="inlineStr">
        <is>
          <t>Mongolia</t>
        </is>
      </c>
      <c r="F478" s="5" t="n">
        <v>2025</v>
      </c>
      <c r="G478" s="5" t="n">
        <v>4</v>
      </c>
      <c r="H478" s="7" t="n">
        <v>0.63</v>
      </c>
      <c r="I478" s="5" t="inlineStr">
        <is>
          <t>USD</t>
        </is>
      </c>
      <c r="J478" s="8">
        <f>IF($I478="AUD",Assumptions!$B$2,Assumptions!$B$3)</f>
        <v/>
      </c>
      <c r="K478" s="9">
        <f>$G478*$H478*$J478</f>
        <v/>
      </c>
      <c r="L478" s="9">
        <f>$K478*Assumptions!$B$4</f>
        <v/>
      </c>
      <c r="M478" s="9">
        <f>RawTx[[#This Row],[Value USD]]/RawTx[[#This Row],[Quantity]]</f>
        <v/>
      </c>
      <c r="N478" s="9">
        <f>RawTx[[#This Row],[Value IDR]]/RawTx[[#This Row],[Quantity]]</f>
        <v/>
      </c>
      <c r="O478" s="4" t="inlineStr">
        <is>
          <t>BOLT,HEX:4.6;M4;0.7TP;50MM;ZP;FT</t>
        </is>
      </c>
      <c r="P478" s="5" t="inlineStr">
        <is>
          <t>NA</t>
        </is>
      </c>
      <c r="Q478" s="13" t="inlineStr">
        <is>
          <t>NA</t>
        </is>
      </c>
      <c r="R478" s="7" t="n">
        <v>0.09</v>
      </c>
      <c r="S478" s="7">
        <f>IFERROR($R478/$G478,"")</f>
        <v/>
      </c>
      <c r="T478" s="7" t="inlineStr">
        <is>
          <t>NA</t>
        </is>
      </c>
      <c r="U478" s="7" t="inlineStr">
        <is>
          <t>NA</t>
        </is>
      </c>
      <c r="V478" s="7" t="inlineStr">
        <is>
          <t>NA</t>
        </is>
      </c>
      <c r="W478" s="9">
        <f>IF(ISNUMBER($T478),$T478*$J478*Assumptions!$B$4,"NA")</f>
        <v/>
      </c>
      <c r="X478" s="9">
        <f>IF(ISNUMBER($U478),$U478*$J478*Assumptions!$B$4,"NA")</f>
        <v/>
      </c>
      <c r="Y478" s="9">
        <f>IF(ISNUMBER($V478),$V478*$J478*Assumptions!$B$4,"NA")</f>
        <v/>
      </c>
    </row>
    <row r="479">
      <c r="A479" s="5" t="inlineStr">
        <is>
          <t>SSB Parts</t>
        </is>
      </c>
      <c r="B479" s="5" t="inlineStr">
        <is>
          <t>Electrical</t>
        </is>
      </c>
      <c r="C479" s="5" t="inlineStr">
        <is>
          <t>MSM Group LLC</t>
        </is>
      </c>
      <c r="D479" s="5" t="inlineStr">
        <is>
          <t>Trader/Distributor</t>
        </is>
      </c>
      <c r="E479" s="5" t="inlineStr">
        <is>
          <t>Mongolia</t>
        </is>
      </c>
      <c r="F479" s="5" t="n">
        <v>2025</v>
      </c>
      <c r="G479" s="5" t="n">
        <v>12</v>
      </c>
      <c r="H479" s="7" t="n">
        <v>0.33</v>
      </c>
      <c r="I479" s="5" t="inlineStr">
        <is>
          <t>USD</t>
        </is>
      </c>
      <c r="J479" s="8">
        <f>IF($I479="AUD",Assumptions!$B$2,Assumptions!$B$3)</f>
        <v/>
      </c>
      <c r="K479" s="9">
        <f>$G479*$H479*$J479</f>
        <v/>
      </c>
      <c r="L479" s="9">
        <f>$K479*Assumptions!$B$4</f>
        <v/>
      </c>
      <c r="M479" s="9">
        <f>RawTx[[#This Row],[Value USD]]/RawTx[[#This Row],[Quantity]]</f>
        <v/>
      </c>
      <c r="N479" s="9">
        <f>RawTx[[#This Row],[Value IDR]]/RawTx[[#This Row],[Quantity]]</f>
        <v/>
      </c>
      <c r="O479" s="4" t="inlineStr">
        <is>
          <t>FUSE:BLADE;5A;OR</t>
        </is>
      </c>
      <c r="P479" s="5" t="inlineStr">
        <is>
          <t>NA</t>
        </is>
      </c>
      <c r="Q479" s="13" t="inlineStr">
        <is>
          <t>NA</t>
        </is>
      </c>
      <c r="R479" s="7" t="n">
        <v>0.09</v>
      </c>
      <c r="S479" s="7">
        <f>IFERROR($R479/$G479,"")</f>
        <v/>
      </c>
      <c r="T479" s="7" t="inlineStr">
        <is>
          <t>NA</t>
        </is>
      </c>
      <c r="U479" s="7" t="inlineStr">
        <is>
          <t>NA</t>
        </is>
      </c>
      <c r="V479" s="7" t="inlineStr">
        <is>
          <t>NA</t>
        </is>
      </c>
      <c r="W479" s="9">
        <f>IF(ISNUMBER($T479),$T479*$J479*Assumptions!$B$4,"NA")</f>
        <v/>
      </c>
      <c r="X479" s="9">
        <f>IF(ISNUMBER($U479),$U479*$J479*Assumptions!$B$4,"NA")</f>
        <v/>
      </c>
      <c r="Y479" s="9">
        <f>IF(ISNUMBER($V479),$V479*$J479*Assumptions!$B$4,"NA")</f>
        <v/>
      </c>
    </row>
    <row r="480">
      <c r="A480" s="5" t="inlineStr">
        <is>
          <t>SSB Parts</t>
        </is>
      </c>
      <c r="B480" s="5" t="inlineStr">
        <is>
          <t>Electrical</t>
        </is>
      </c>
      <c r="C480" s="5" t="inlineStr">
        <is>
          <t>MSM Group LLC</t>
        </is>
      </c>
      <c r="D480" s="5" t="inlineStr">
        <is>
          <t>Trader/Distributor</t>
        </is>
      </c>
      <c r="E480" s="5" t="inlineStr">
        <is>
          <t>Mongolia</t>
        </is>
      </c>
      <c r="F480" s="5" t="n">
        <v>2025</v>
      </c>
      <c r="G480" s="5" t="n">
        <v>12</v>
      </c>
      <c r="H480" s="7" t="n">
        <v>0.06</v>
      </c>
      <c r="I480" s="5" t="inlineStr">
        <is>
          <t>USD</t>
        </is>
      </c>
      <c r="J480" s="8">
        <f>IF($I480="AUD",Assumptions!$B$2,Assumptions!$B$3)</f>
        <v/>
      </c>
      <c r="K480" s="9">
        <f>$G480*$H480*$J480</f>
        <v/>
      </c>
      <c r="L480" s="9">
        <f>$K480*Assumptions!$B$4</f>
        <v/>
      </c>
      <c r="M480" s="9">
        <f>RawTx[[#This Row],[Value USD]]/RawTx[[#This Row],[Quantity]]</f>
        <v/>
      </c>
      <c r="N480" s="9">
        <f>RawTx[[#This Row],[Value IDR]]/RawTx[[#This Row],[Quantity]]</f>
        <v/>
      </c>
      <c r="O480" s="4" t="inlineStr">
        <is>
          <t>WASHER,FLAT</t>
        </is>
      </c>
      <c r="P480" s="5" t="inlineStr">
        <is>
          <t>NA</t>
        </is>
      </c>
      <c r="Q480" s="13" t="inlineStr">
        <is>
          <t>NA</t>
        </is>
      </c>
      <c r="R480" s="7" t="n">
        <v>0.02</v>
      </c>
      <c r="S480" s="7">
        <f>IFERROR($R480/$G480,"")</f>
        <v/>
      </c>
      <c r="T480" s="7" t="inlineStr">
        <is>
          <t>NA</t>
        </is>
      </c>
      <c r="U480" s="7" t="inlineStr">
        <is>
          <t>NA</t>
        </is>
      </c>
      <c r="V480" s="7" t="inlineStr">
        <is>
          <t>NA</t>
        </is>
      </c>
      <c r="W480" s="9">
        <f>IF(ISNUMBER($T480),$T480*$J480*Assumptions!$B$4,"NA")</f>
        <v/>
      </c>
      <c r="X480" s="9">
        <f>IF(ISNUMBER($U480),$U480*$J480*Assumptions!$B$4,"NA")</f>
        <v/>
      </c>
      <c r="Y480" s="9">
        <f>IF(ISNUMBER($V480),$V480*$J480*Assumptions!$B$4,"NA")</f>
        <v/>
      </c>
    </row>
    <row r="481">
      <c r="A481" s="5" t="inlineStr">
        <is>
          <t>SSB Parts</t>
        </is>
      </c>
      <c r="B481" s="5" t="inlineStr">
        <is>
          <t>Electrical</t>
        </is>
      </c>
      <c r="C481" s="5" t="inlineStr">
        <is>
          <t>MSM Group LLC</t>
        </is>
      </c>
      <c r="D481" s="5" t="inlineStr">
        <is>
          <t>Trader/Distributor</t>
        </is>
      </c>
      <c r="E481" s="5" t="inlineStr">
        <is>
          <t>Mongolia</t>
        </is>
      </c>
      <c r="F481" s="5" t="n">
        <v>2025</v>
      </c>
      <c r="G481" s="5" t="n">
        <v>6</v>
      </c>
      <c r="H481" s="7" t="n">
        <v>7.21</v>
      </c>
      <c r="I481" s="5" t="inlineStr">
        <is>
          <t>USD</t>
        </is>
      </c>
      <c r="J481" s="8">
        <f>IF($I481="AUD",Assumptions!$B$2,Assumptions!$B$3)</f>
        <v/>
      </c>
      <c r="K481" s="9">
        <f>$G481*$H481*$J481</f>
        <v/>
      </c>
      <c r="L481" s="9">
        <f>$K481*Assumptions!$B$4</f>
        <v/>
      </c>
      <c r="M481" s="9">
        <f>RawTx[[#This Row],[Value USD]]/RawTx[[#This Row],[Quantity]]</f>
        <v/>
      </c>
      <c r="N481" s="9">
        <f>RawTx[[#This Row],[Value IDR]]/RawTx[[#This Row],[Quantity]]</f>
        <v/>
      </c>
      <c r="O481" s="4" t="inlineStr">
        <is>
          <t>CABLE:NYAF;L CORE X 35MM2;BK;0.6/1KV</t>
        </is>
      </c>
      <c r="P481" s="5" t="inlineStr">
        <is>
          <t>NA</t>
        </is>
      </c>
      <c r="Q481" s="13" t="inlineStr">
        <is>
          <t>NA</t>
        </is>
      </c>
      <c r="R481" s="7" t="n">
        <v>0.92</v>
      </c>
      <c r="S481" s="7">
        <f>IFERROR($R481/$G481,"")</f>
        <v/>
      </c>
      <c r="T481" s="7" t="inlineStr">
        <is>
          <t>NA</t>
        </is>
      </c>
      <c r="U481" s="7" t="inlineStr">
        <is>
          <t>NA</t>
        </is>
      </c>
      <c r="V481" s="7" t="inlineStr">
        <is>
          <t>NA</t>
        </is>
      </c>
      <c r="W481" s="9">
        <f>IF(ISNUMBER($T481),$T481*$J481*Assumptions!$B$4,"NA")</f>
        <v/>
      </c>
      <c r="X481" s="9">
        <f>IF(ISNUMBER($U481),$U481*$J481*Assumptions!$B$4,"NA")</f>
        <v/>
      </c>
      <c r="Y481" s="9">
        <f>IF(ISNUMBER($V481),$V481*$J481*Assumptions!$B$4,"NA")</f>
        <v/>
      </c>
    </row>
    <row r="482">
      <c r="A482" s="5" t="inlineStr">
        <is>
          <t>SSB Parts</t>
        </is>
      </c>
      <c r="B482" s="5" t="inlineStr">
        <is>
          <t>Electrical</t>
        </is>
      </c>
      <c r="C482" s="5" t="inlineStr">
        <is>
          <t>MSM Group LLC</t>
        </is>
      </c>
      <c r="D482" s="5" t="inlineStr">
        <is>
          <t>Trader/Distributor</t>
        </is>
      </c>
      <c r="E482" s="5" t="inlineStr">
        <is>
          <t>Mongolia</t>
        </is>
      </c>
      <c r="F482" s="5" t="n">
        <v>2025</v>
      </c>
      <c r="G482" s="5" t="n">
        <v>12</v>
      </c>
      <c r="H482" s="7" t="n">
        <v>0.08</v>
      </c>
      <c r="I482" s="5" t="inlineStr">
        <is>
          <t>USD</t>
        </is>
      </c>
      <c r="J482" s="8">
        <f>IF($I482="AUD",Assumptions!$B$2,Assumptions!$B$3)</f>
        <v/>
      </c>
      <c r="K482" s="9">
        <f>$G482*$H482*$J482</f>
        <v/>
      </c>
      <c r="L482" s="9">
        <f>$K482*Assumptions!$B$4</f>
        <v/>
      </c>
      <c r="M482" s="9">
        <f>RawTx[[#This Row],[Value USD]]/RawTx[[#This Row],[Quantity]]</f>
        <v/>
      </c>
      <c r="N482" s="9">
        <f>RawTx[[#This Row],[Value IDR]]/RawTx[[#This Row],[Quantity]]</f>
        <v/>
      </c>
      <c r="O482" s="4" t="inlineStr">
        <is>
          <t>SCREW:JP BOLT;MS;20MM;ZP</t>
        </is>
      </c>
      <c r="P482" s="5" t="inlineStr">
        <is>
          <t>NA</t>
        </is>
      </c>
      <c r="Q482" s="13" t="inlineStr">
        <is>
          <t>NA</t>
        </is>
      </c>
      <c r="R482" s="7" t="n">
        <v>0.02</v>
      </c>
      <c r="S482" s="7">
        <f>IFERROR($R482/$G482,"")</f>
        <v/>
      </c>
      <c r="T482" s="7" t="inlineStr">
        <is>
          <t>NA</t>
        </is>
      </c>
      <c r="U482" s="7" t="inlineStr">
        <is>
          <t>NA</t>
        </is>
      </c>
      <c r="V482" s="7" t="inlineStr">
        <is>
          <t>NA</t>
        </is>
      </c>
      <c r="W482" s="9">
        <f>IF(ISNUMBER($T482),$T482*$J482*Assumptions!$B$4,"NA")</f>
        <v/>
      </c>
      <c r="X482" s="9">
        <f>IF(ISNUMBER($U482),$U482*$J482*Assumptions!$B$4,"NA")</f>
        <v/>
      </c>
      <c r="Y482" s="9">
        <f>IF(ISNUMBER($V482),$V482*$J482*Assumptions!$B$4,"NA")</f>
        <v/>
      </c>
    </row>
    <row r="483">
      <c r="A483" s="5" t="inlineStr">
        <is>
          <t>SSB Parts</t>
        </is>
      </c>
      <c r="B483" s="5" t="inlineStr">
        <is>
          <t>Electrical</t>
        </is>
      </c>
      <c r="C483" s="5" t="inlineStr">
        <is>
          <t>MSM Group LLC</t>
        </is>
      </c>
      <c r="D483" s="5" t="inlineStr">
        <is>
          <t>Trader/Distributor</t>
        </is>
      </c>
      <c r="E483" s="5" t="inlineStr">
        <is>
          <t>Mongolia</t>
        </is>
      </c>
      <c r="F483" s="5" t="n">
        <v>2025</v>
      </c>
      <c r="G483" s="5" t="n">
        <v>16</v>
      </c>
      <c r="H483" s="7" t="n">
        <v>0.15</v>
      </c>
      <c r="I483" s="5" t="inlineStr">
        <is>
          <t>USD</t>
        </is>
      </c>
      <c r="J483" s="8">
        <f>IF($I483="AUD",Assumptions!$B$2,Assumptions!$B$3)</f>
        <v/>
      </c>
      <c r="K483" s="9">
        <f>$G483*$H483*$J483</f>
        <v/>
      </c>
      <c r="L483" s="9">
        <f>$K483*Assumptions!$B$4</f>
        <v/>
      </c>
      <c r="M483" s="9">
        <f>RawTx[[#This Row],[Value USD]]/RawTx[[#This Row],[Quantity]]</f>
        <v/>
      </c>
      <c r="N483" s="9">
        <f>RawTx[[#This Row],[Value IDR]]/RawTx[[#This Row],[Quantity]]</f>
        <v/>
      </c>
      <c r="O483" s="4" t="inlineStr">
        <is>
          <t>WASHER:FLAT;10.9;M12;24MM;2.5MM;ZP</t>
        </is>
      </c>
      <c r="P483" s="5" t="inlineStr">
        <is>
          <t>NA</t>
        </is>
      </c>
      <c r="Q483" s="13" t="inlineStr">
        <is>
          <t>NA</t>
        </is>
      </c>
      <c r="R483" s="7" t="n">
        <v>1</v>
      </c>
      <c r="S483" s="7">
        <f>IFERROR($R483/$G483,"")</f>
        <v/>
      </c>
      <c r="T483" s="7" t="inlineStr">
        <is>
          <t>NA</t>
        </is>
      </c>
      <c r="U483" s="7" t="inlineStr">
        <is>
          <t>NA</t>
        </is>
      </c>
      <c r="V483" s="7" t="inlineStr">
        <is>
          <t>NA</t>
        </is>
      </c>
      <c r="W483" s="9">
        <f>IF(ISNUMBER($T483),$T483*$J483*Assumptions!$B$4,"NA")</f>
        <v/>
      </c>
      <c r="X483" s="9">
        <f>IF(ISNUMBER($U483),$U483*$J483*Assumptions!$B$4,"NA")</f>
        <v/>
      </c>
      <c r="Y483" s="9">
        <f>IF(ISNUMBER($V483),$V483*$J483*Assumptions!$B$4,"NA")</f>
        <v/>
      </c>
    </row>
    <row r="484">
      <c r="A484" s="5" t="inlineStr">
        <is>
          <t>SSB Parts</t>
        </is>
      </c>
      <c r="B484" s="5" t="inlineStr">
        <is>
          <t>Electrical</t>
        </is>
      </c>
      <c r="C484" s="5" t="inlineStr">
        <is>
          <t>MSM Group LLC</t>
        </is>
      </c>
      <c r="D484" s="5" t="inlineStr">
        <is>
          <t>Trader/Distributor</t>
        </is>
      </c>
      <c r="E484" s="5" t="inlineStr">
        <is>
          <t>Mongolia</t>
        </is>
      </c>
      <c r="F484" s="5" t="n">
        <v>2025</v>
      </c>
      <c r="G484" s="5" t="n">
        <v>12</v>
      </c>
      <c r="H484" s="7" t="n">
        <v>0.68</v>
      </c>
      <c r="I484" s="5" t="inlineStr">
        <is>
          <t>USD</t>
        </is>
      </c>
      <c r="J484" s="8">
        <f>IF($I484="AUD",Assumptions!$B$2,Assumptions!$B$3)</f>
        <v/>
      </c>
      <c r="K484" s="9">
        <f>$G484*$H484*$J484</f>
        <v/>
      </c>
      <c r="L484" s="9">
        <f>$K484*Assumptions!$B$4</f>
        <v/>
      </c>
      <c r="M484" s="9">
        <f>RawTx[[#This Row],[Value USD]]/RawTx[[#This Row],[Quantity]]</f>
        <v/>
      </c>
      <c r="N484" s="9">
        <f>RawTx[[#This Row],[Value IDR]]/RawTx[[#This Row],[Quantity]]</f>
        <v/>
      </c>
      <c r="O484" s="4" t="inlineStr">
        <is>
          <t>FUSE:BLADE;LOA;RD</t>
        </is>
      </c>
      <c r="P484" s="5" t="inlineStr">
        <is>
          <t>NA</t>
        </is>
      </c>
      <c r="Q484" s="13" t="inlineStr">
        <is>
          <t>NA</t>
        </is>
      </c>
      <c r="R484" s="7" t="n">
        <v>0.17</v>
      </c>
      <c r="S484" s="7">
        <f>IFERROR($R484/$G484,"")</f>
        <v/>
      </c>
      <c r="T484" s="7" t="inlineStr">
        <is>
          <t>NA</t>
        </is>
      </c>
      <c r="U484" s="7" t="inlineStr">
        <is>
          <t>NA</t>
        </is>
      </c>
      <c r="V484" s="7" t="inlineStr">
        <is>
          <t>NA</t>
        </is>
      </c>
      <c r="W484" s="9">
        <f>IF(ISNUMBER($T484),$T484*$J484*Assumptions!$B$4,"NA")</f>
        <v/>
      </c>
      <c r="X484" s="9">
        <f>IF(ISNUMBER($U484),$U484*$J484*Assumptions!$B$4,"NA")</f>
        <v/>
      </c>
      <c r="Y484" s="9">
        <f>IF(ISNUMBER($V484),$V484*$J484*Assumptions!$B$4,"NA")</f>
        <v/>
      </c>
    </row>
    <row r="485">
      <c r="A485" s="5" t="inlineStr">
        <is>
          <t>SSB Parts</t>
        </is>
      </c>
      <c r="B485" s="5" t="inlineStr">
        <is>
          <t>Electrical</t>
        </is>
      </c>
      <c r="C485" s="5" t="inlineStr">
        <is>
          <t>MSM Group LLC</t>
        </is>
      </c>
      <c r="D485" s="5" t="inlineStr">
        <is>
          <t>Trader/Distributor</t>
        </is>
      </c>
      <c r="E485" s="5" t="inlineStr">
        <is>
          <t>Mongolia</t>
        </is>
      </c>
      <c r="F485" s="5" t="n">
        <v>2025</v>
      </c>
      <c r="G485" s="5" t="n">
        <v>4</v>
      </c>
      <c r="H485" s="7" t="n">
        <v>12.22</v>
      </c>
      <c r="I485" s="5" t="inlineStr">
        <is>
          <t>USD</t>
        </is>
      </c>
      <c r="J485" s="8">
        <f>IF($I485="AUD",Assumptions!$B$2,Assumptions!$B$3)</f>
        <v/>
      </c>
      <c r="K485" s="9">
        <f>$G485*$H485*$J485</f>
        <v/>
      </c>
      <c r="L485" s="9">
        <f>$K485*Assumptions!$B$4</f>
        <v/>
      </c>
      <c r="M485" s="9">
        <f>RawTx[[#This Row],[Value USD]]/RawTx[[#This Row],[Quantity]]</f>
        <v/>
      </c>
      <c r="N485" s="9">
        <f>RawTx[[#This Row],[Value IDR]]/RawTx[[#This Row],[Quantity]]</f>
        <v/>
      </c>
      <c r="O485" s="4" t="inlineStr">
        <is>
          <t>ADAPT,STR:3/4IN NPTM;3/4IN NPTM</t>
        </is>
      </c>
      <c r="P485" s="5" t="inlineStr">
        <is>
          <t>NA</t>
        </is>
      </c>
      <c r="Q485" s="13" t="inlineStr">
        <is>
          <t>NA</t>
        </is>
      </c>
      <c r="R485" s="7" t="n">
        <v>0.03</v>
      </c>
      <c r="S485" s="7">
        <f>IFERROR($R485/$G485,"")</f>
        <v/>
      </c>
      <c r="T485" s="7" t="inlineStr">
        <is>
          <t>NA</t>
        </is>
      </c>
      <c r="U485" s="7" t="inlineStr">
        <is>
          <t>NA</t>
        </is>
      </c>
      <c r="V485" s="7" t="inlineStr">
        <is>
          <t>NA</t>
        </is>
      </c>
      <c r="W485" s="9">
        <f>IF(ISNUMBER($T485),$T485*$J485*Assumptions!$B$4,"NA")</f>
        <v/>
      </c>
      <c r="X485" s="9">
        <f>IF(ISNUMBER($U485),$U485*$J485*Assumptions!$B$4,"NA")</f>
        <v/>
      </c>
      <c r="Y485" s="9">
        <f>IF(ISNUMBER($V485),$V485*$J485*Assumptions!$B$4,"NA")</f>
        <v/>
      </c>
    </row>
    <row r="486">
      <c r="A486" s="5" t="inlineStr">
        <is>
          <t>SSB Parts</t>
        </is>
      </c>
      <c r="B486" s="5" t="inlineStr">
        <is>
          <t>Electrical</t>
        </is>
      </c>
      <c r="C486" s="5" t="inlineStr">
        <is>
          <t>MSM Group LLC</t>
        </is>
      </c>
      <c r="D486" s="5" t="inlineStr">
        <is>
          <t>Trader/Distributor</t>
        </is>
      </c>
      <c r="E486" s="5" t="inlineStr">
        <is>
          <t>Mongolia</t>
        </is>
      </c>
      <c r="F486" s="5" t="n">
        <v>2025</v>
      </c>
      <c r="G486" s="5" t="n">
        <v>12</v>
      </c>
      <c r="H486" s="7" t="n">
        <v>0.09</v>
      </c>
      <c r="I486" s="5" t="inlineStr">
        <is>
          <t>USD</t>
        </is>
      </c>
      <c r="J486" s="8">
        <f>IF($I486="AUD",Assumptions!$B$2,Assumptions!$B$3)</f>
        <v/>
      </c>
      <c r="K486" s="9">
        <f>$G486*$H486*$J486</f>
        <v/>
      </c>
      <c r="L486" s="9">
        <f>$K486*Assumptions!$B$4</f>
        <v/>
      </c>
      <c r="M486" s="9">
        <f>RawTx[[#This Row],[Value USD]]/RawTx[[#This Row],[Quantity]]</f>
        <v/>
      </c>
      <c r="N486" s="9">
        <f>RawTx[[#This Row],[Value IDR]]/RawTx[[#This Row],[Quantity]]</f>
        <v/>
      </c>
      <c r="O486" s="4" t="inlineStr">
        <is>
          <t>WASHER:FLAT;8.8;M10;20MM;2MM;ZP</t>
        </is>
      </c>
      <c r="P486" s="5" t="inlineStr">
        <is>
          <t>NA</t>
        </is>
      </c>
      <c r="Q486" s="13" t="inlineStr">
        <is>
          <t>NA</t>
        </is>
      </c>
      <c r="R486" s="7" t="n">
        <v>0.02</v>
      </c>
      <c r="S486" s="7">
        <f>IFERROR($R486/$G486,"")</f>
        <v/>
      </c>
      <c r="T486" s="7" t="inlineStr">
        <is>
          <t>NA</t>
        </is>
      </c>
      <c r="U486" s="7" t="inlineStr">
        <is>
          <t>NA</t>
        </is>
      </c>
      <c r="V486" s="7" t="inlineStr">
        <is>
          <t>NA</t>
        </is>
      </c>
      <c r="W486" s="9">
        <f>IF(ISNUMBER($T486),$T486*$J486*Assumptions!$B$4,"NA")</f>
        <v/>
      </c>
      <c r="X486" s="9">
        <f>IF(ISNUMBER($U486),$U486*$J486*Assumptions!$B$4,"NA")</f>
        <v/>
      </c>
      <c r="Y486" s="9">
        <f>IF(ISNUMBER($V486),$V486*$J486*Assumptions!$B$4,"NA")</f>
        <v/>
      </c>
    </row>
    <row r="487">
      <c r="A487" s="5" t="inlineStr">
        <is>
          <t>SSB Parts</t>
        </is>
      </c>
      <c r="B487" s="5" t="inlineStr">
        <is>
          <t>Electrical</t>
        </is>
      </c>
      <c r="C487" s="5" t="inlineStr">
        <is>
          <t>MSM Group LLC</t>
        </is>
      </c>
      <c r="D487" s="5" t="inlineStr">
        <is>
          <t>Trader/Distributor</t>
        </is>
      </c>
      <c r="E487" s="5" t="inlineStr">
        <is>
          <t>Mongolia</t>
        </is>
      </c>
      <c r="F487" s="5" t="n">
        <v>2025</v>
      </c>
      <c r="G487" s="5" t="n">
        <v>4</v>
      </c>
      <c r="H487" s="7" t="n">
        <v>0.05</v>
      </c>
      <c r="I487" s="5" t="inlineStr">
        <is>
          <t>USD</t>
        </is>
      </c>
      <c r="J487" s="8">
        <f>IF($I487="AUD",Assumptions!$B$2,Assumptions!$B$3)</f>
        <v/>
      </c>
      <c r="K487" s="9">
        <f>$G487*$H487*$J487</f>
        <v/>
      </c>
      <c r="L487" s="9">
        <f>$K487*Assumptions!$B$4</f>
        <v/>
      </c>
      <c r="M487" s="9">
        <f>RawTx[[#This Row],[Value USD]]/RawTx[[#This Row],[Quantity]]</f>
        <v/>
      </c>
      <c r="N487" s="9">
        <f>RawTx[[#This Row],[Value IDR]]/RawTx[[#This Row],[Quantity]]</f>
        <v/>
      </c>
      <c r="O487" s="4" t="inlineStr">
        <is>
          <t>BOLT,MCH:JP;4.6;M4;12 MM</t>
        </is>
      </c>
      <c r="P487" s="5" t="inlineStr">
        <is>
          <t>NA</t>
        </is>
      </c>
      <c r="Q487" s="13" t="inlineStr">
        <is>
          <t>NA</t>
        </is>
      </c>
      <c r="R487" s="7" t="n">
        <v>0</v>
      </c>
      <c r="S487" s="7">
        <f>IFERROR($R487/$G487,"")</f>
        <v/>
      </c>
      <c r="T487" s="7" t="inlineStr">
        <is>
          <t>NA</t>
        </is>
      </c>
      <c r="U487" s="7" t="inlineStr">
        <is>
          <t>NA</t>
        </is>
      </c>
      <c r="V487" s="7" t="inlineStr">
        <is>
          <t>NA</t>
        </is>
      </c>
      <c r="W487" s="9">
        <f>IF(ISNUMBER($T487),$T487*$J487*Assumptions!$B$4,"NA")</f>
        <v/>
      </c>
      <c r="X487" s="9">
        <f>IF(ISNUMBER($U487),$U487*$J487*Assumptions!$B$4,"NA")</f>
        <v/>
      </c>
      <c r="Y487" s="9">
        <f>IF(ISNUMBER($V487),$V487*$J487*Assumptions!$B$4,"NA")</f>
        <v/>
      </c>
    </row>
    <row r="488">
      <c r="A488" s="5" t="inlineStr">
        <is>
          <t>SSB Parts</t>
        </is>
      </c>
      <c r="B488" s="5" t="inlineStr">
        <is>
          <t>Electrical</t>
        </is>
      </c>
      <c r="C488" s="5" t="inlineStr">
        <is>
          <t>MSM Group LLC</t>
        </is>
      </c>
      <c r="D488" s="5" t="inlineStr">
        <is>
          <t>Trader/Distributor</t>
        </is>
      </c>
      <c r="E488" s="5" t="inlineStr">
        <is>
          <t>Mongolia</t>
        </is>
      </c>
      <c r="F488" s="5" t="n">
        <v>2025</v>
      </c>
      <c r="G488" s="5" t="n">
        <v>6</v>
      </c>
      <c r="H488" s="7" t="n">
        <v>4.74</v>
      </c>
      <c r="I488" s="5" t="inlineStr">
        <is>
          <t>USD</t>
        </is>
      </c>
      <c r="J488" s="8">
        <f>IF($I488="AUD",Assumptions!$B$2,Assumptions!$B$3)</f>
        <v/>
      </c>
      <c r="K488" s="9">
        <f>$G488*$H488*$J488</f>
        <v/>
      </c>
      <c r="L488" s="9">
        <f>$K488*Assumptions!$B$4</f>
        <v/>
      </c>
      <c r="M488" s="9">
        <f>RawTx[[#This Row],[Value USD]]/RawTx[[#This Row],[Quantity]]</f>
        <v/>
      </c>
      <c r="N488" s="9">
        <f>RawTx[[#This Row],[Value IDR]]/RawTx[[#This Row],[Quantity]]</f>
        <v/>
      </c>
      <c r="O488" s="4" t="inlineStr">
        <is>
          <t>RELAY:CHANGE-OVER;S-PINS;24VDC;10/20A</t>
        </is>
      </c>
      <c r="P488" s="5" t="inlineStr">
        <is>
          <t>NA</t>
        </is>
      </c>
      <c r="Q488" s="13" t="inlineStr">
        <is>
          <t>NA</t>
        </is>
      </c>
      <c r="R488" s="7" t="n">
        <v>0.09</v>
      </c>
      <c r="S488" s="7">
        <f>IFERROR($R488/$G488,"")</f>
        <v/>
      </c>
      <c r="T488" s="7" t="inlineStr">
        <is>
          <t>NA</t>
        </is>
      </c>
      <c r="U488" s="7" t="inlineStr">
        <is>
          <t>NA</t>
        </is>
      </c>
      <c r="V488" s="7" t="inlineStr">
        <is>
          <t>NA</t>
        </is>
      </c>
      <c r="W488" s="9">
        <f>IF(ISNUMBER($T488),$T488*$J488*Assumptions!$B$4,"NA")</f>
        <v/>
      </c>
      <c r="X488" s="9">
        <f>IF(ISNUMBER($U488),$U488*$J488*Assumptions!$B$4,"NA")</f>
        <v/>
      </c>
      <c r="Y488" s="9">
        <f>IF(ISNUMBER($V488),$V488*$J488*Assumptions!$B$4,"NA")</f>
        <v/>
      </c>
    </row>
    <row r="489">
      <c r="A489" s="5" t="inlineStr">
        <is>
          <t>SSB Parts</t>
        </is>
      </c>
      <c r="B489" s="5" t="inlineStr">
        <is>
          <t>Electrical</t>
        </is>
      </c>
      <c r="C489" s="5" t="inlineStr">
        <is>
          <t>MSM Group LLC</t>
        </is>
      </c>
      <c r="D489" s="5" t="inlineStr">
        <is>
          <t>Trader/Distributor</t>
        </is>
      </c>
      <c r="E489" s="5" t="inlineStr">
        <is>
          <t>Mongolia</t>
        </is>
      </c>
      <c r="F489" s="5" t="n">
        <v>2025</v>
      </c>
      <c r="G489" s="5" t="n">
        <v>20</v>
      </c>
      <c r="H489" s="7" t="n">
        <v>0.04</v>
      </c>
      <c r="I489" s="5" t="inlineStr">
        <is>
          <t>USD</t>
        </is>
      </c>
      <c r="J489" s="8">
        <f>IF($I489="AUD",Assumptions!$B$2,Assumptions!$B$3)</f>
        <v/>
      </c>
      <c r="K489" s="9">
        <f>$G489*$H489*$J489</f>
        <v/>
      </c>
      <c r="L489" s="9">
        <f>$K489*Assumptions!$B$4</f>
        <v/>
      </c>
      <c r="M489" s="9">
        <f>RawTx[[#This Row],[Value USD]]/RawTx[[#This Row],[Quantity]]</f>
        <v/>
      </c>
      <c r="N489" s="9">
        <f>RawTx[[#This Row],[Value IDR]]/RawTx[[#This Row],[Quantity]]</f>
        <v/>
      </c>
      <c r="O489" s="4" t="inlineStr">
        <is>
          <t>NUT HEX:NYLOC;4.6;M4;0.7TP;ZP</t>
        </is>
      </c>
      <c r="P489" s="5" t="inlineStr">
        <is>
          <t>NA</t>
        </is>
      </c>
      <c r="Q489" s="13" t="inlineStr">
        <is>
          <t>NA</t>
        </is>
      </c>
      <c r="R489" s="7" t="n">
        <v>0.02</v>
      </c>
      <c r="S489" s="7">
        <f>IFERROR($R489/$G489,"")</f>
        <v/>
      </c>
      <c r="T489" s="7" t="inlineStr">
        <is>
          <t>NA</t>
        </is>
      </c>
      <c r="U489" s="7" t="inlineStr">
        <is>
          <t>NA</t>
        </is>
      </c>
      <c r="V489" s="7" t="inlineStr">
        <is>
          <t>NA</t>
        </is>
      </c>
      <c r="W489" s="9">
        <f>IF(ISNUMBER($T489),$T489*$J489*Assumptions!$B$4,"NA")</f>
        <v/>
      </c>
      <c r="X489" s="9">
        <f>IF(ISNUMBER($U489),$U489*$J489*Assumptions!$B$4,"NA")</f>
        <v/>
      </c>
      <c r="Y489" s="9">
        <f>IF(ISNUMBER($V489),$V489*$J489*Assumptions!$B$4,"NA")</f>
        <v/>
      </c>
    </row>
    <row r="490">
      <c r="A490" s="5" t="inlineStr">
        <is>
          <t>SSB Parts</t>
        </is>
      </c>
      <c r="B490" s="5" t="inlineStr">
        <is>
          <t>Electrical</t>
        </is>
      </c>
      <c r="C490" s="5" t="inlineStr">
        <is>
          <t>MSM Group LLC</t>
        </is>
      </c>
      <c r="D490" s="5" t="inlineStr">
        <is>
          <t>Trader/Distributor</t>
        </is>
      </c>
      <c r="E490" s="5" t="inlineStr">
        <is>
          <t>Mongolia</t>
        </is>
      </c>
      <c r="F490" s="5" t="n">
        <v>2025</v>
      </c>
      <c r="G490" s="5" t="n">
        <v>6</v>
      </c>
      <c r="H490" s="7" t="n">
        <v>3.54</v>
      </c>
      <c r="I490" s="5" t="inlineStr">
        <is>
          <t>USD</t>
        </is>
      </c>
      <c r="J490" s="8">
        <f>IF($I490="AUD",Assumptions!$B$2,Assumptions!$B$3)</f>
        <v/>
      </c>
      <c r="K490" s="9">
        <f>$G490*$H490*$J490</f>
        <v/>
      </c>
      <c r="L490" s="9">
        <f>$K490*Assumptions!$B$4</f>
        <v/>
      </c>
      <c r="M490" s="9">
        <f>RawTx[[#This Row],[Value USD]]/RawTx[[#This Row],[Quantity]]</f>
        <v/>
      </c>
      <c r="N490" s="9">
        <f>RawTx[[#This Row],[Value IDR]]/RawTx[[#This Row],[Quantity]]</f>
        <v/>
      </c>
      <c r="O490" s="4" t="inlineStr">
        <is>
          <t>CABLE,AUTO:2 CORE X 1.85MM2;RD,BK;15AMPS</t>
        </is>
      </c>
      <c r="P490" s="5" t="inlineStr">
        <is>
          <t>NA</t>
        </is>
      </c>
      <c r="Q490" s="13" t="inlineStr">
        <is>
          <t>NA</t>
        </is>
      </c>
      <c r="R490" s="7" t="n">
        <v>0.45</v>
      </c>
      <c r="S490" s="7">
        <f>IFERROR($R490/$G490,"")</f>
        <v/>
      </c>
      <c r="T490" s="7" t="inlineStr">
        <is>
          <t>NA</t>
        </is>
      </c>
      <c r="U490" s="7" t="inlineStr">
        <is>
          <t>NA</t>
        </is>
      </c>
      <c r="V490" s="7" t="inlineStr">
        <is>
          <t>NA</t>
        </is>
      </c>
      <c r="W490" s="9">
        <f>IF(ISNUMBER($T490),$T490*$J490*Assumptions!$B$4,"NA")</f>
        <v/>
      </c>
      <c r="X490" s="9">
        <f>IF(ISNUMBER($U490),$U490*$J490*Assumptions!$B$4,"NA")</f>
        <v/>
      </c>
      <c r="Y490" s="9">
        <f>IF(ISNUMBER($V490),$V490*$J490*Assumptions!$B$4,"NA")</f>
        <v/>
      </c>
    </row>
    <row r="491">
      <c r="A491" s="5" t="inlineStr">
        <is>
          <t>SSB Parts</t>
        </is>
      </c>
      <c r="B491" s="5" t="inlineStr">
        <is>
          <t>Electrical</t>
        </is>
      </c>
      <c r="C491" s="5" t="inlineStr">
        <is>
          <t>MSM Group LLC</t>
        </is>
      </c>
      <c r="D491" s="5" t="inlineStr">
        <is>
          <t>Trader/Distributor</t>
        </is>
      </c>
      <c r="E491" s="5" t="inlineStr">
        <is>
          <t>Mongolia</t>
        </is>
      </c>
      <c r="F491" s="5" t="n">
        <v>2025</v>
      </c>
      <c r="G491" s="5" t="n">
        <v>6</v>
      </c>
      <c r="H491" s="7" t="n">
        <v>1.9</v>
      </c>
      <c r="I491" s="5" t="inlineStr">
        <is>
          <t>USD</t>
        </is>
      </c>
      <c r="J491" s="8">
        <f>IF($I491="AUD",Assumptions!$B$2,Assumptions!$B$3)</f>
        <v/>
      </c>
      <c r="K491" s="9">
        <f>$G491*$H491*$J491</f>
        <v/>
      </c>
      <c r="L491" s="9">
        <f>$K491*Assumptions!$B$4</f>
        <v/>
      </c>
      <c r="M491" s="9">
        <f>RawTx[[#This Row],[Value USD]]/RawTx[[#This Row],[Quantity]]</f>
        <v/>
      </c>
      <c r="N491" s="9">
        <f>RawTx[[#This Row],[Value IDR]]/RawTx[[#This Row],[Quantity]]</f>
        <v/>
      </c>
      <c r="O491" s="4" t="inlineStr">
        <is>
          <t>CONN:CABLE;LUG;95MM;TINNED;12MM;COPPE R</t>
        </is>
      </c>
      <c r="P491" s="5" t="inlineStr">
        <is>
          <t>NA</t>
        </is>
      </c>
      <c r="Q491" s="13" t="inlineStr">
        <is>
          <t>NA</t>
        </is>
      </c>
      <c r="R491" s="7" t="n">
        <v>0.24</v>
      </c>
      <c r="S491" s="7">
        <f>IFERROR($R491/$G491,"")</f>
        <v/>
      </c>
      <c r="T491" s="7" t="inlineStr">
        <is>
          <t>NA</t>
        </is>
      </c>
      <c r="U491" s="7" t="inlineStr">
        <is>
          <t>NA</t>
        </is>
      </c>
      <c r="V491" s="7" t="inlineStr">
        <is>
          <t>NA</t>
        </is>
      </c>
      <c r="W491" s="9">
        <f>IF(ISNUMBER($T491),$T491*$J491*Assumptions!$B$4,"NA")</f>
        <v/>
      </c>
      <c r="X491" s="9">
        <f>IF(ISNUMBER($U491),$U491*$J491*Assumptions!$B$4,"NA")</f>
        <v/>
      </c>
      <c r="Y491" s="9">
        <f>IF(ISNUMBER($V491),$V491*$J491*Assumptions!$B$4,"NA")</f>
        <v/>
      </c>
    </row>
    <row r="492">
      <c r="A492" s="5" t="inlineStr">
        <is>
          <t>SSB Parts</t>
        </is>
      </c>
      <c r="B492" s="5" t="inlineStr">
        <is>
          <t>Electrical</t>
        </is>
      </c>
      <c r="C492" s="5" t="inlineStr">
        <is>
          <t>MSM Group LLC</t>
        </is>
      </c>
      <c r="D492" s="5" t="inlineStr">
        <is>
          <t>Trader/Distributor</t>
        </is>
      </c>
      <c r="E492" s="5" t="inlineStr">
        <is>
          <t>Mongolia</t>
        </is>
      </c>
      <c r="F492" s="5" t="n">
        <v>2025</v>
      </c>
      <c r="G492" s="5" t="n">
        <v>10</v>
      </c>
      <c r="H492" s="7" t="n">
        <v>15.14</v>
      </c>
      <c r="I492" s="5" t="inlineStr">
        <is>
          <t>USD</t>
        </is>
      </c>
      <c r="J492" s="8">
        <f>IF($I492="AUD",Assumptions!$B$2,Assumptions!$B$3)</f>
        <v/>
      </c>
      <c r="K492" s="9">
        <f>$G492*$H492*$J492</f>
        <v/>
      </c>
      <c r="L492" s="9">
        <f>$K492*Assumptions!$B$4</f>
        <v/>
      </c>
      <c r="M492" s="9">
        <f>RawTx[[#This Row],[Value USD]]/RawTx[[#This Row],[Quantity]]</f>
        <v/>
      </c>
      <c r="N492" s="9">
        <f>RawTx[[#This Row],[Value IDR]]/RawTx[[#This Row],[Quantity]]</f>
        <v/>
      </c>
      <c r="O492" s="4" t="inlineStr">
        <is>
          <t>VALVEEXTNSN,TIRE:8.3MM;12R24;45DEG</t>
        </is>
      </c>
      <c r="P492" s="5" t="inlineStr">
        <is>
          <t>NA</t>
        </is>
      </c>
      <c r="Q492" s="13" t="inlineStr">
        <is>
          <t>NA</t>
        </is>
      </c>
      <c r="R492" s="7" t="n">
        <v>3.23</v>
      </c>
      <c r="S492" s="7">
        <f>IFERROR($R492/$G492,"")</f>
        <v/>
      </c>
      <c r="T492" s="7" t="inlineStr">
        <is>
          <t>NA</t>
        </is>
      </c>
      <c r="U492" s="7" t="inlineStr">
        <is>
          <t>NA</t>
        </is>
      </c>
      <c r="V492" s="7" t="inlineStr">
        <is>
          <t>NA</t>
        </is>
      </c>
      <c r="W492" s="9">
        <f>IF(ISNUMBER($T492),$T492*$J492*Assumptions!$B$4,"NA")</f>
        <v/>
      </c>
      <c r="X492" s="9">
        <f>IF(ISNUMBER($U492),$U492*$J492*Assumptions!$B$4,"NA")</f>
        <v/>
      </c>
      <c r="Y492" s="9">
        <f>IF(ISNUMBER($V492),$V492*$J492*Assumptions!$B$4,"NA")</f>
        <v/>
      </c>
    </row>
    <row r="493">
      <c r="A493" s="5" t="inlineStr">
        <is>
          <t>SSB Parts</t>
        </is>
      </c>
      <c r="B493" s="5" t="inlineStr">
        <is>
          <t>Electrical</t>
        </is>
      </c>
      <c r="C493" s="5" t="inlineStr">
        <is>
          <t>MSM Group LLC</t>
        </is>
      </c>
      <c r="D493" s="5" t="inlineStr">
        <is>
          <t>Trader/Distributor</t>
        </is>
      </c>
      <c r="E493" s="5" t="inlineStr">
        <is>
          <t>Mongolia</t>
        </is>
      </c>
      <c r="F493" s="5" t="n">
        <v>2025</v>
      </c>
      <c r="G493" s="5" t="n">
        <v>14</v>
      </c>
      <c r="H493" s="7" t="n">
        <v>15.14</v>
      </c>
      <c r="I493" s="5" t="inlineStr">
        <is>
          <t>USD</t>
        </is>
      </c>
      <c r="J493" s="8">
        <f>IF($I493="AUD",Assumptions!$B$2,Assumptions!$B$3)</f>
        <v/>
      </c>
      <c r="K493" s="9">
        <f>$G493*$H493*$J493</f>
        <v/>
      </c>
      <c r="L493" s="9">
        <f>$K493*Assumptions!$B$4</f>
        <v/>
      </c>
      <c r="M493" s="9">
        <f>RawTx[[#This Row],[Value USD]]/RawTx[[#This Row],[Quantity]]</f>
        <v/>
      </c>
      <c r="N493" s="9">
        <f>RawTx[[#This Row],[Value IDR]]/RawTx[[#This Row],[Quantity]]</f>
        <v/>
      </c>
      <c r="O493" s="4" t="inlineStr">
        <is>
          <t>VALVEEXTNSN,TIRE:8.3MM;12R24;45DEG</t>
        </is>
      </c>
      <c r="P493" s="5" t="inlineStr">
        <is>
          <t>NA</t>
        </is>
      </c>
      <c r="Q493" s="13" t="inlineStr">
        <is>
          <t>NA</t>
        </is>
      </c>
      <c r="R493" s="7" t="n">
        <v>7.73</v>
      </c>
      <c r="S493" s="7">
        <f>IFERROR($R493/$G493,"")</f>
        <v/>
      </c>
      <c r="T493" s="7" t="inlineStr">
        <is>
          <t>NA</t>
        </is>
      </c>
      <c r="U493" s="7" t="inlineStr">
        <is>
          <t>NA</t>
        </is>
      </c>
      <c r="V493" s="7" t="inlineStr">
        <is>
          <t>NA</t>
        </is>
      </c>
      <c r="W493" s="9">
        <f>IF(ISNUMBER($T493),$T493*$J493*Assumptions!$B$4,"NA")</f>
        <v/>
      </c>
      <c r="X493" s="9">
        <f>IF(ISNUMBER($U493),$U493*$J493*Assumptions!$B$4,"NA")</f>
        <v/>
      </c>
      <c r="Y493" s="9">
        <f>IF(ISNUMBER($V493),$V493*$J493*Assumptions!$B$4,"NA")</f>
        <v/>
      </c>
    </row>
    <row r="494">
      <c r="A494" s="5" t="inlineStr">
        <is>
          <t>SSB Parts</t>
        </is>
      </c>
      <c r="B494" s="5" t="inlineStr">
        <is>
          <t>Electrical</t>
        </is>
      </c>
      <c r="C494" s="5" t="inlineStr">
        <is>
          <t>MSM Group LLC</t>
        </is>
      </c>
      <c r="D494" s="5" t="inlineStr">
        <is>
          <t>Trader/Distributor</t>
        </is>
      </c>
      <c r="E494" s="5" t="inlineStr">
        <is>
          <t>Mongolia</t>
        </is>
      </c>
      <c r="F494" s="5" t="n">
        <v>2025</v>
      </c>
      <c r="G494" s="5" t="n">
        <v>2</v>
      </c>
      <c r="H494" s="7" t="n">
        <v>9.16</v>
      </c>
      <c r="I494" s="5" t="inlineStr">
        <is>
          <t>USD</t>
        </is>
      </c>
      <c r="J494" s="8">
        <f>IF($I494="AUD",Assumptions!$B$2,Assumptions!$B$3)</f>
        <v/>
      </c>
      <c r="K494" s="9">
        <f>$G494*$H494*$J494</f>
        <v/>
      </c>
      <c r="L494" s="9">
        <f>$K494*Assumptions!$B$4</f>
        <v/>
      </c>
      <c r="M494" s="9">
        <f>RawTx[[#This Row],[Value USD]]/RawTx[[#This Row],[Quantity]]</f>
        <v/>
      </c>
      <c r="N494" s="9">
        <f>RawTx[[#This Row],[Value IDR]]/RawTx[[#This Row],[Quantity]]</f>
        <v/>
      </c>
      <c r="O494" s="4" t="inlineStr">
        <is>
          <t>BOLT,MCH:311517;TRIDEC</t>
        </is>
      </c>
      <c r="P494" s="5" t="inlineStr">
        <is>
          <t>NA</t>
        </is>
      </c>
      <c r="Q494" s="13" t="inlineStr">
        <is>
          <t>NA</t>
        </is>
      </c>
      <c r="R494" s="7" t="n">
        <v>1</v>
      </c>
      <c r="S494" s="7">
        <f>IFERROR($R494/$G494,"")</f>
        <v/>
      </c>
      <c r="T494" s="7" t="inlineStr">
        <is>
          <t>NA</t>
        </is>
      </c>
      <c r="U494" s="7" t="inlineStr">
        <is>
          <t>NA</t>
        </is>
      </c>
      <c r="V494" s="7" t="inlineStr">
        <is>
          <t>NA</t>
        </is>
      </c>
      <c r="W494" s="9">
        <f>IF(ISNUMBER($T494),$T494*$J494*Assumptions!$B$4,"NA")</f>
        <v/>
      </c>
      <c r="X494" s="9">
        <f>IF(ISNUMBER($U494),$U494*$J494*Assumptions!$B$4,"NA")</f>
        <v/>
      </c>
      <c r="Y494" s="9">
        <f>IF(ISNUMBER($V494),$V494*$J494*Assumptions!$B$4,"NA")</f>
        <v/>
      </c>
    </row>
    <row r="495">
      <c r="A495" s="5" t="inlineStr">
        <is>
          <t>SSB Parts</t>
        </is>
      </c>
      <c r="B495" s="5" t="inlineStr">
        <is>
          <t>Electrical</t>
        </is>
      </c>
      <c r="C495" s="5" t="inlineStr">
        <is>
          <t>MSM Group LLC</t>
        </is>
      </c>
      <c r="D495" s="5" t="inlineStr">
        <is>
          <t>Trader/Distributor</t>
        </is>
      </c>
      <c r="E495" s="5" t="inlineStr">
        <is>
          <t>Mongolia</t>
        </is>
      </c>
      <c r="F495" s="5" t="n">
        <v>2025</v>
      </c>
      <c r="G495" s="5" t="n">
        <v>6</v>
      </c>
      <c r="H495" s="7" t="n">
        <v>31.78</v>
      </c>
      <c r="I495" s="5" t="inlineStr">
        <is>
          <t>USD</t>
        </is>
      </c>
      <c r="J495" s="8">
        <f>IF($I495="AUD",Assumptions!$B$2,Assumptions!$B$3)</f>
        <v/>
      </c>
      <c r="K495" s="9">
        <f>$G495*$H495*$J495</f>
        <v/>
      </c>
      <c r="L495" s="9">
        <f>$K495*Assumptions!$B$4</f>
        <v/>
      </c>
      <c r="M495" s="9">
        <f>RawTx[[#This Row],[Value USD]]/RawTx[[#This Row],[Quantity]]</f>
        <v/>
      </c>
      <c r="N495" s="9">
        <f>RawTx[[#This Row],[Value IDR]]/RawTx[[#This Row],[Quantity]]</f>
        <v/>
      </c>
      <c r="O495" s="4" t="inlineStr">
        <is>
          <t>BOX,FUSE:BLADE;8FUSES</t>
        </is>
      </c>
      <c r="P495" s="5" t="inlineStr">
        <is>
          <t>NA</t>
        </is>
      </c>
      <c r="Q495" s="13" t="inlineStr">
        <is>
          <t>NA</t>
        </is>
      </c>
      <c r="R495" s="7" t="n">
        <v>4.07</v>
      </c>
      <c r="S495" s="7">
        <f>IFERROR($R495/$G495,"")</f>
        <v/>
      </c>
      <c r="T495" s="7" t="inlineStr">
        <is>
          <t>NA</t>
        </is>
      </c>
      <c r="U495" s="7" t="inlineStr">
        <is>
          <t>NA</t>
        </is>
      </c>
      <c r="V495" s="7" t="inlineStr">
        <is>
          <t>NA</t>
        </is>
      </c>
      <c r="W495" s="9">
        <f>IF(ISNUMBER($T495),$T495*$J495*Assumptions!$B$4,"NA")</f>
        <v/>
      </c>
      <c r="X495" s="9">
        <f>IF(ISNUMBER($U495),$U495*$J495*Assumptions!$B$4,"NA")</f>
        <v/>
      </c>
      <c r="Y495" s="9">
        <f>IF(ISNUMBER($V495),$V495*$J495*Assumptions!$B$4,"NA")</f>
        <v/>
      </c>
    </row>
    <row r="496">
      <c r="A496" s="5" t="inlineStr">
        <is>
          <t>SSB Parts</t>
        </is>
      </c>
      <c r="B496" s="5" t="inlineStr">
        <is>
          <t>Electrical</t>
        </is>
      </c>
      <c r="C496" s="5" t="inlineStr">
        <is>
          <t>MSM Group LLC</t>
        </is>
      </c>
      <c r="D496" s="5" t="inlineStr">
        <is>
          <t>Trader/Distributor</t>
        </is>
      </c>
      <c r="E496" s="5" t="inlineStr">
        <is>
          <t>Mongolia</t>
        </is>
      </c>
      <c r="F496" s="5" t="n">
        <v>2025</v>
      </c>
      <c r="G496" s="5" t="n">
        <v>49</v>
      </c>
      <c r="H496" s="7" t="n">
        <v>1.28</v>
      </c>
      <c r="I496" s="5" t="inlineStr">
        <is>
          <t>USD</t>
        </is>
      </c>
      <c r="J496" s="8">
        <f>IF($I496="AUD",Assumptions!$B$2,Assumptions!$B$3)</f>
        <v/>
      </c>
      <c r="K496" s="9">
        <f>$G496*$H496*$J496</f>
        <v/>
      </c>
      <c r="L496" s="9">
        <f>$K496*Assumptions!$B$4</f>
        <v/>
      </c>
      <c r="M496" s="9">
        <f>RawTx[[#This Row],[Value USD]]/RawTx[[#This Row],[Quantity]]</f>
        <v/>
      </c>
      <c r="N496" s="9">
        <f>RawTx[[#This Row],[Value IDR]]/RawTx[[#This Row],[Quantity]]</f>
        <v/>
      </c>
      <c r="O496" s="4" t="inlineStr">
        <is>
          <t>NIPPLE:GREASE;1/81N;BSPT;M.STEEL</t>
        </is>
      </c>
      <c r="P496" s="5" t="inlineStr">
        <is>
          <t>NA</t>
        </is>
      </c>
      <c r="Q496" s="13" t="inlineStr">
        <is>
          <t>NA</t>
        </is>
      </c>
      <c r="R496" s="7" t="n">
        <v>1.34</v>
      </c>
      <c r="S496" s="7">
        <f>IFERROR($R496/$G496,"")</f>
        <v/>
      </c>
      <c r="T496" s="7" t="inlineStr">
        <is>
          <t>NA</t>
        </is>
      </c>
      <c r="U496" s="7" t="inlineStr">
        <is>
          <t>NA</t>
        </is>
      </c>
      <c r="V496" s="7" t="inlineStr">
        <is>
          <t>NA</t>
        </is>
      </c>
      <c r="W496" s="9">
        <f>IF(ISNUMBER($T496),$T496*$J496*Assumptions!$B$4,"NA")</f>
        <v/>
      </c>
      <c r="X496" s="9">
        <f>IF(ISNUMBER($U496),$U496*$J496*Assumptions!$B$4,"NA")</f>
        <v/>
      </c>
      <c r="Y496" s="9">
        <f>IF(ISNUMBER($V496),$V496*$J496*Assumptions!$B$4,"NA")</f>
        <v/>
      </c>
    </row>
    <row r="497">
      <c r="A497" s="5" t="inlineStr">
        <is>
          <t>SSB Parts</t>
        </is>
      </c>
      <c r="B497" s="5" t="inlineStr">
        <is>
          <t>Electrical</t>
        </is>
      </c>
      <c r="C497" s="5" t="inlineStr">
        <is>
          <t>MSM Group LLC</t>
        </is>
      </c>
      <c r="D497" s="5" t="inlineStr">
        <is>
          <t>Trader/Distributor</t>
        </is>
      </c>
      <c r="E497" s="5" t="inlineStr">
        <is>
          <t>Mongolia</t>
        </is>
      </c>
      <c r="F497" s="5" t="n">
        <v>2025</v>
      </c>
      <c r="G497" s="5" t="n">
        <v>12</v>
      </c>
      <c r="H497" s="7" t="n">
        <v>0.14</v>
      </c>
      <c r="I497" s="5" t="inlineStr">
        <is>
          <t>USD</t>
        </is>
      </c>
      <c r="J497" s="8">
        <f>IF($I497="AUD",Assumptions!$B$2,Assumptions!$B$3)</f>
        <v/>
      </c>
      <c r="K497" s="9">
        <f>$G497*$H497*$J497</f>
        <v/>
      </c>
      <c r="L497" s="9">
        <f>$K497*Assumptions!$B$4</f>
        <v/>
      </c>
      <c r="M497" s="9">
        <f>RawTx[[#This Row],[Value USD]]/RawTx[[#This Row],[Quantity]]</f>
        <v/>
      </c>
      <c r="N497" s="9">
        <f>RawTx[[#This Row],[Value IDR]]/RawTx[[#This Row],[Quantity]]</f>
        <v/>
      </c>
      <c r="O497" s="4" t="inlineStr">
        <is>
          <t>NUT,HEX,NYLOC:8.8;M10;1.S TP;ZINC PLT</t>
        </is>
      </c>
      <c r="P497" s="5" t="inlineStr">
        <is>
          <t>NA</t>
        </is>
      </c>
      <c r="Q497" s="13" t="inlineStr">
        <is>
          <t>NA</t>
        </is>
      </c>
      <c r="R497" s="7" t="n">
        <v>0.04</v>
      </c>
      <c r="S497" s="7">
        <f>IFERROR($R497/$G497,"")</f>
        <v/>
      </c>
      <c r="T497" s="7" t="inlineStr">
        <is>
          <t>NA</t>
        </is>
      </c>
      <c r="U497" s="7" t="inlineStr">
        <is>
          <t>NA</t>
        </is>
      </c>
      <c r="V497" s="7" t="inlineStr">
        <is>
          <t>NA</t>
        </is>
      </c>
      <c r="W497" s="9">
        <f>IF(ISNUMBER($T497),$T497*$J497*Assumptions!$B$4,"NA")</f>
        <v/>
      </c>
      <c r="X497" s="9">
        <f>IF(ISNUMBER($U497),$U497*$J497*Assumptions!$B$4,"NA")</f>
        <v/>
      </c>
      <c r="Y497" s="9">
        <f>IF(ISNUMBER($V497),$V497*$J497*Assumptions!$B$4,"NA")</f>
        <v/>
      </c>
    </row>
    <row r="498">
      <c r="A498" s="5" t="inlineStr">
        <is>
          <t>SSB Parts</t>
        </is>
      </c>
      <c r="B498" s="5" t="inlineStr">
        <is>
          <t>Electrical</t>
        </is>
      </c>
      <c r="C498" s="5" t="inlineStr">
        <is>
          <t>MSM Group LLC</t>
        </is>
      </c>
      <c r="D498" s="5" t="inlineStr">
        <is>
          <t>Trader/Distributor</t>
        </is>
      </c>
      <c r="E498" s="5" t="inlineStr">
        <is>
          <t>Mongolia</t>
        </is>
      </c>
      <c r="F498" s="5" t="n">
        <v>2025</v>
      </c>
      <c r="G498" s="5" t="n">
        <v>9</v>
      </c>
      <c r="H498" s="7" t="n">
        <v>0.57</v>
      </c>
      <c r="I498" s="5" t="inlineStr">
        <is>
          <t>USD</t>
        </is>
      </c>
      <c r="J498" s="8">
        <f>IF($I498="AUD",Assumptions!$B$2,Assumptions!$B$3)</f>
        <v/>
      </c>
      <c r="K498" s="9">
        <f>$G498*$H498*$J498</f>
        <v/>
      </c>
      <c r="L498" s="9">
        <f>$K498*Assumptions!$B$4</f>
        <v/>
      </c>
      <c r="M498" s="9">
        <f>RawTx[[#This Row],[Value USD]]/RawTx[[#This Row],[Quantity]]</f>
        <v/>
      </c>
      <c r="N498" s="9">
        <f>RawTx[[#This Row],[Value IDR]]/RawTx[[#This Row],[Quantity]]</f>
        <v/>
      </c>
      <c r="O498" s="4" t="inlineStr">
        <is>
          <t>BOLT,HEX:8.8;M10;1.S TP;120MM;ZINC PLT</t>
        </is>
      </c>
      <c r="P498" s="5" t="inlineStr">
        <is>
          <t>NA</t>
        </is>
      </c>
      <c r="Q498" s="13" t="inlineStr">
        <is>
          <t>NA</t>
        </is>
      </c>
      <c r="R498" s="7" t="n">
        <v>0.11</v>
      </c>
      <c r="S498" s="7">
        <f>IFERROR($R498/$G498,"")</f>
        <v/>
      </c>
      <c r="T498" s="7" t="inlineStr">
        <is>
          <t>NA</t>
        </is>
      </c>
      <c r="U498" s="7" t="inlineStr">
        <is>
          <t>NA</t>
        </is>
      </c>
      <c r="V498" s="7" t="inlineStr">
        <is>
          <t>NA</t>
        </is>
      </c>
      <c r="W498" s="9">
        <f>IF(ISNUMBER($T498),$T498*$J498*Assumptions!$B$4,"NA")</f>
        <v/>
      </c>
      <c r="X498" s="9">
        <f>IF(ISNUMBER($U498),$U498*$J498*Assumptions!$B$4,"NA")</f>
        <v/>
      </c>
      <c r="Y498" s="9">
        <f>IF(ISNUMBER($V498),$V498*$J498*Assumptions!$B$4,"NA")</f>
        <v/>
      </c>
    </row>
    <row r="499">
      <c r="A499" s="5" t="inlineStr">
        <is>
          <t>SSB Parts</t>
        </is>
      </c>
      <c r="B499" s="5" t="inlineStr">
        <is>
          <t>Electrical</t>
        </is>
      </c>
      <c r="C499" s="5" t="inlineStr">
        <is>
          <t>MSM Group LLC</t>
        </is>
      </c>
      <c r="D499" s="5" t="inlineStr">
        <is>
          <t>Trader/Distributor</t>
        </is>
      </c>
      <c r="E499" s="5" t="inlineStr">
        <is>
          <t>Mongolia</t>
        </is>
      </c>
      <c r="F499" s="5" t="n">
        <v>2025</v>
      </c>
      <c r="G499" s="5" t="n">
        <v>10</v>
      </c>
      <c r="H499" s="7" t="n">
        <v>25.24</v>
      </c>
      <c r="I499" s="5" t="inlineStr">
        <is>
          <t>USD</t>
        </is>
      </c>
      <c r="J499" s="8">
        <f>IF($I499="AUD",Assumptions!$B$2,Assumptions!$B$3)</f>
        <v/>
      </c>
      <c r="K499" s="9">
        <f>$G499*$H499*$J499</f>
        <v/>
      </c>
      <c r="L499" s="9">
        <f>$K499*Assumptions!$B$4</f>
        <v/>
      </c>
      <c r="M499" s="9">
        <f>RawTx[[#This Row],[Value USD]]/RawTx[[#This Row],[Quantity]]</f>
        <v/>
      </c>
      <c r="N499" s="9">
        <f>RawTx[[#This Row],[Value IDR]]/RawTx[[#This Row],[Quantity]]</f>
        <v/>
      </c>
      <c r="O499" s="4" t="inlineStr">
        <is>
          <t>VALVEEXTNSN,TIRE:8.3MM;12R24;150MM</t>
        </is>
      </c>
      <c r="P499" s="5" t="inlineStr">
        <is>
          <t>NA</t>
        </is>
      </c>
      <c r="Q499" s="13" t="inlineStr">
        <is>
          <t>NA</t>
        </is>
      </c>
      <c r="R499" s="7" t="n">
        <v>5.39</v>
      </c>
      <c r="S499" s="7">
        <f>IFERROR($R499/$G499,"")</f>
        <v/>
      </c>
      <c r="T499" s="7" t="inlineStr">
        <is>
          <t>NA</t>
        </is>
      </c>
      <c r="U499" s="7" t="inlineStr">
        <is>
          <t>NA</t>
        </is>
      </c>
      <c r="V499" s="7" t="inlineStr">
        <is>
          <t>NA</t>
        </is>
      </c>
      <c r="W499" s="9">
        <f>IF(ISNUMBER($T499),$T499*$J499*Assumptions!$B$4,"NA")</f>
        <v/>
      </c>
      <c r="X499" s="9">
        <f>IF(ISNUMBER($U499),$U499*$J499*Assumptions!$B$4,"NA")</f>
        <v/>
      </c>
      <c r="Y499" s="9">
        <f>IF(ISNUMBER($V499),$V499*$J499*Assumptions!$B$4,"NA")</f>
        <v/>
      </c>
    </row>
    <row r="500">
      <c r="A500" s="5" t="inlineStr">
        <is>
          <t>SSB Parts</t>
        </is>
      </c>
      <c r="B500" s="5" t="inlineStr">
        <is>
          <t>Electrical</t>
        </is>
      </c>
      <c r="C500" s="5" t="inlineStr">
        <is>
          <t>MSM Group LLC</t>
        </is>
      </c>
      <c r="D500" s="5" t="inlineStr">
        <is>
          <t>Trader/Distributor</t>
        </is>
      </c>
      <c r="E500" s="5" t="inlineStr">
        <is>
          <t>Mongolia</t>
        </is>
      </c>
      <c r="F500" s="5" t="n">
        <v>2025</v>
      </c>
      <c r="G500" s="5" t="n">
        <v>12</v>
      </c>
      <c r="H500" s="7" t="n">
        <v>0.62</v>
      </c>
      <c r="I500" s="5" t="inlineStr">
        <is>
          <t>USD</t>
        </is>
      </c>
      <c r="J500" s="8">
        <f>IF($I500="AUD",Assumptions!$B$2,Assumptions!$B$3)</f>
        <v/>
      </c>
      <c r="K500" s="9">
        <f>$G500*$H500*$J500</f>
        <v/>
      </c>
      <c r="L500" s="9">
        <f>$K500*Assumptions!$B$4</f>
        <v/>
      </c>
      <c r="M500" s="9">
        <f>RawTx[[#This Row],[Value USD]]/RawTx[[#This Row],[Quantity]]</f>
        <v/>
      </c>
      <c r="N500" s="9">
        <f>RawTx[[#This Row],[Value IDR]]/RawTx[[#This Row],[Quantity]]</f>
        <v/>
      </c>
      <c r="O500" s="4" t="inlineStr">
        <is>
          <t>CONN:CABLE;LUG;35MMSQ;8MM;COPPER</t>
        </is>
      </c>
      <c r="P500" s="5" t="inlineStr">
        <is>
          <t>NA</t>
        </is>
      </c>
      <c r="Q500" s="13" t="inlineStr">
        <is>
          <t>NA</t>
        </is>
      </c>
      <c r="R500" s="7" t="n">
        <v>0.16</v>
      </c>
      <c r="S500" s="7">
        <f>IFERROR($R500/$G500,"")</f>
        <v/>
      </c>
      <c r="T500" s="7" t="inlineStr">
        <is>
          <t>NA</t>
        </is>
      </c>
      <c r="U500" s="7" t="inlineStr">
        <is>
          <t>NA</t>
        </is>
      </c>
      <c r="V500" s="7" t="inlineStr">
        <is>
          <t>NA</t>
        </is>
      </c>
      <c r="W500" s="9">
        <f>IF(ISNUMBER($T500),$T500*$J500*Assumptions!$B$4,"NA")</f>
        <v/>
      </c>
      <c r="X500" s="9">
        <f>IF(ISNUMBER($U500),$U500*$J500*Assumptions!$B$4,"NA")</f>
        <v/>
      </c>
      <c r="Y500" s="9">
        <f>IF(ISNUMBER($V500),$V500*$J500*Assumptions!$B$4,"NA")</f>
        <v/>
      </c>
    </row>
    <row r="501">
      <c r="A501" s="5" t="inlineStr">
        <is>
          <t>SSB Parts</t>
        </is>
      </c>
      <c r="B501" s="5" t="inlineStr">
        <is>
          <t>Electrical</t>
        </is>
      </c>
      <c r="C501" s="5" t="inlineStr">
        <is>
          <t>MSM Group LLC</t>
        </is>
      </c>
      <c r="D501" s="5" t="inlineStr">
        <is>
          <t>Trader/Distributor</t>
        </is>
      </c>
      <c r="E501" s="5" t="inlineStr">
        <is>
          <t>Mongolia</t>
        </is>
      </c>
      <c r="F501" s="5" t="n">
        <v>2025</v>
      </c>
      <c r="G501" s="5" t="n">
        <v>6</v>
      </c>
      <c r="H501" s="7" t="n">
        <v>17.95</v>
      </c>
      <c r="I501" s="5" t="inlineStr">
        <is>
          <t>USD</t>
        </is>
      </c>
      <c r="J501" s="8">
        <f>IF($I501="AUD",Assumptions!$B$2,Assumptions!$B$3)</f>
        <v/>
      </c>
      <c r="K501" s="9">
        <f>$G501*$H501*$J501</f>
        <v/>
      </c>
      <c r="L501" s="9">
        <f>$K501*Assumptions!$B$4</f>
        <v/>
      </c>
      <c r="M501" s="9">
        <f>RawTx[[#This Row],[Value USD]]/RawTx[[#This Row],[Quantity]]</f>
        <v/>
      </c>
      <c r="N501" s="9">
        <f>RawTx[[#This Row],[Value IDR]]/RawTx[[#This Row],[Quantity]]</f>
        <v/>
      </c>
      <c r="O501" s="4" t="inlineStr">
        <is>
          <t>FTNG:CONDUIT;90DEG;16MM;M20;NON METAL</t>
        </is>
      </c>
      <c r="P501" s="5" t="inlineStr">
        <is>
          <t>NA</t>
        </is>
      </c>
      <c r="Q501" s="13" t="inlineStr">
        <is>
          <t>NA</t>
        </is>
      </c>
      <c r="R501" s="7" t="n">
        <v>0.34</v>
      </c>
      <c r="S501" s="7">
        <f>IFERROR($R501/$G501,"")</f>
        <v/>
      </c>
      <c r="T501" s="7" t="inlineStr">
        <is>
          <t>NA</t>
        </is>
      </c>
      <c r="U501" s="7" t="inlineStr">
        <is>
          <t>NA</t>
        </is>
      </c>
      <c r="V501" s="7" t="inlineStr">
        <is>
          <t>NA</t>
        </is>
      </c>
      <c r="W501" s="9">
        <f>IF(ISNUMBER($T501),$T501*$J501*Assumptions!$B$4,"NA")</f>
        <v/>
      </c>
      <c r="X501" s="9">
        <f>IF(ISNUMBER($U501),$U501*$J501*Assumptions!$B$4,"NA")</f>
        <v/>
      </c>
      <c r="Y501" s="9">
        <f>IF(ISNUMBER($V501),$V501*$J501*Assumptions!$B$4,"NA")</f>
        <v/>
      </c>
    </row>
    <row r="502">
      <c r="A502" s="5" t="inlineStr">
        <is>
          <t>SSB Parts</t>
        </is>
      </c>
      <c r="B502" s="5" t="inlineStr">
        <is>
          <t>Electrical</t>
        </is>
      </c>
      <c r="C502" s="5" t="inlineStr">
        <is>
          <t>MSM Group LLC</t>
        </is>
      </c>
      <c r="D502" s="5" t="inlineStr">
        <is>
          <t>Trader/Distributor</t>
        </is>
      </c>
      <c r="E502" s="5" t="inlineStr">
        <is>
          <t>Mongolia</t>
        </is>
      </c>
      <c r="F502" s="5" t="n">
        <v>2025</v>
      </c>
      <c r="G502" s="5" t="n">
        <v>5</v>
      </c>
      <c r="H502" s="7" t="n">
        <v>3.42</v>
      </c>
      <c r="I502" s="5" t="inlineStr">
        <is>
          <t>USD</t>
        </is>
      </c>
      <c r="J502" s="8">
        <f>IF($I502="AUD",Assumptions!$B$2,Assumptions!$B$3)</f>
        <v/>
      </c>
      <c r="K502" s="9">
        <f>$G502*$H502*$J502</f>
        <v/>
      </c>
      <c r="L502" s="9">
        <f>$K502*Assumptions!$B$4</f>
        <v/>
      </c>
      <c r="M502" s="9">
        <f>RawTx[[#This Row],[Value USD]]/RawTx[[#This Row],[Quantity]]</f>
        <v/>
      </c>
      <c r="N502" s="9">
        <f>RawTx[[#This Row],[Value IDR]]/RawTx[[#This Row],[Quantity]]</f>
        <v/>
      </c>
      <c r="O502" s="4" t="inlineStr">
        <is>
          <t>CLAMP:CONDUIT;NYLON 66;21MM;CLIP;BK</t>
        </is>
      </c>
      <c r="P502" s="5" t="inlineStr">
        <is>
          <t>NA</t>
        </is>
      </c>
      <c r="Q502" s="13" t="inlineStr">
        <is>
          <t>NA</t>
        </is>
      </c>
      <c r="R502" s="7" t="n">
        <v>0.37</v>
      </c>
      <c r="S502" s="7">
        <f>IFERROR($R502/$G502,"")</f>
        <v/>
      </c>
      <c r="T502" s="7" t="inlineStr">
        <is>
          <t>NA</t>
        </is>
      </c>
      <c r="U502" s="7" t="inlineStr">
        <is>
          <t>NA</t>
        </is>
      </c>
      <c r="V502" s="7" t="inlineStr">
        <is>
          <t>NA</t>
        </is>
      </c>
      <c r="W502" s="9">
        <f>IF(ISNUMBER($T502),$T502*$J502*Assumptions!$B$4,"NA")</f>
        <v/>
      </c>
      <c r="X502" s="9">
        <f>IF(ISNUMBER($U502),$U502*$J502*Assumptions!$B$4,"NA")</f>
        <v/>
      </c>
      <c r="Y502" s="9">
        <f>IF(ISNUMBER($V502),$V502*$J502*Assumptions!$B$4,"NA")</f>
        <v/>
      </c>
    </row>
    <row r="503">
      <c r="A503" s="5" t="inlineStr">
        <is>
          <t>SSB Parts</t>
        </is>
      </c>
      <c r="B503" s="5" t="inlineStr">
        <is>
          <t>Electrical</t>
        </is>
      </c>
      <c r="C503" s="5" t="inlineStr">
        <is>
          <t>MSM Group LLC</t>
        </is>
      </c>
      <c r="D503" s="5" t="inlineStr">
        <is>
          <t>Trader/Distributor</t>
        </is>
      </c>
      <c r="E503" s="5" t="inlineStr">
        <is>
          <t>Mongolia</t>
        </is>
      </c>
      <c r="F503" s="5" t="n">
        <v>2025</v>
      </c>
      <c r="G503" s="5" t="n">
        <v>12</v>
      </c>
      <c r="H503" s="7" t="n">
        <v>0.68</v>
      </c>
      <c r="I503" s="5" t="inlineStr">
        <is>
          <t>USD</t>
        </is>
      </c>
      <c r="J503" s="8">
        <f>IF($I503="AUD",Assumptions!$B$2,Assumptions!$B$3)</f>
        <v/>
      </c>
      <c r="K503" s="9">
        <f>$G503*$H503*$J503</f>
        <v/>
      </c>
      <c r="L503" s="9">
        <f>$K503*Assumptions!$B$4</f>
        <v/>
      </c>
      <c r="M503" s="9">
        <f>RawTx[[#This Row],[Value USD]]/RawTx[[#This Row],[Quantity]]</f>
        <v/>
      </c>
      <c r="N503" s="9">
        <f>RawTx[[#This Row],[Value IDR]]/RawTx[[#This Row],[Quantity]]</f>
        <v/>
      </c>
      <c r="O503" s="4" t="inlineStr">
        <is>
          <t>FUSE:BLADE;15A;BLUE</t>
        </is>
      </c>
      <c r="P503" s="5" t="inlineStr">
        <is>
          <t>NA</t>
        </is>
      </c>
      <c r="Q503" s="13" t="inlineStr">
        <is>
          <t>NA</t>
        </is>
      </c>
      <c r="R503" s="7" t="n">
        <v>0.03</v>
      </c>
      <c r="S503" s="7">
        <f>IFERROR($R503/$G503,"")</f>
        <v/>
      </c>
      <c r="T503" s="7" t="inlineStr">
        <is>
          <t>NA</t>
        </is>
      </c>
      <c r="U503" s="7" t="inlineStr">
        <is>
          <t>NA</t>
        </is>
      </c>
      <c r="V503" s="7" t="inlineStr">
        <is>
          <t>NA</t>
        </is>
      </c>
      <c r="W503" s="9">
        <f>IF(ISNUMBER($T503),$T503*$J503*Assumptions!$B$4,"NA")</f>
        <v/>
      </c>
      <c r="X503" s="9">
        <f>IF(ISNUMBER($U503),$U503*$J503*Assumptions!$B$4,"NA")</f>
        <v/>
      </c>
      <c r="Y503" s="9">
        <f>IF(ISNUMBER($V503),$V503*$J503*Assumptions!$B$4,"NA")</f>
        <v/>
      </c>
    </row>
    <row r="504">
      <c r="A504" s="5" t="inlineStr">
        <is>
          <t>SSB Parts</t>
        </is>
      </c>
      <c r="B504" s="5" t="inlineStr">
        <is>
          <t>Electrical</t>
        </is>
      </c>
      <c r="C504" s="5" t="inlineStr">
        <is>
          <t>MSM Group LLC</t>
        </is>
      </c>
      <c r="D504" s="5" t="inlineStr">
        <is>
          <t>Trader/Distributor</t>
        </is>
      </c>
      <c r="E504" s="5" t="inlineStr">
        <is>
          <t>Mongolia</t>
        </is>
      </c>
      <c r="F504" s="5" t="n">
        <v>2025</v>
      </c>
      <c r="G504" s="5" t="n">
        <v>4</v>
      </c>
      <c r="H504" s="7" t="n">
        <v>6.17</v>
      </c>
      <c r="I504" s="5" t="inlineStr">
        <is>
          <t>USD</t>
        </is>
      </c>
      <c r="J504" s="8">
        <f>IF($I504="AUD",Assumptions!$B$2,Assumptions!$B$3)</f>
        <v/>
      </c>
      <c r="K504" s="9">
        <f>$G504*$H504*$J504</f>
        <v/>
      </c>
      <c r="L504" s="9">
        <f>$K504*Assumptions!$B$4</f>
        <v/>
      </c>
      <c r="M504" s="9">
        <f>RawTx[[#This Row],[Value USD]]/RawTx[[#This Row],[Quantity]]</f>
        <v/>
      </c>
      <c r="N504" s="9">
        <f>RawTx[[#This Row],[Value IDR]]/RawTx[[#This Row],[Quantity]]</f>
        <v/>
      </c>
      <c r="O504" s="4" t="inlineStr">
        <is>
          <t>FUSE:MIDL;40A</t>
        </is>
      </c>
      <c r="P504" s="5" t="inlineStr">
        <is>
          <t>NA</t>
        </is>
      </c>
      <c r="Q504" s="13" t="inlineStr">
        <is>
          <t>NA</t>
        </is>
      </c>
      <c r="R504" s="7" t="n">
        <v>0.53</v>
      </c>
      <c r="S504" s="7">
        <f>IFERROR($R504/$G504,"")</f>
        <v/>
      </c>
      <c r="T504" s="7" t="inlineStr">
        <is>
          <t>NA</t>
        </is>
      </c>
      <c r="U504" s="7" t="inlineStr">
        <is>
          <t>NA</t>
        </is>
      </c>
      <c r="V504" s="7" t="inlineStr">
        <is>
          <t>NA</t>
        </is>
      </c>
      <c r="W504" s="9">
        <f>IF(ISNUMBER($T504),$T504*$J504*Assumptions!$B$4,"NA")</f>
        <v/>
      </c>
      <c r="X504" s="9">
        <f>IF(ISNUMBER($U504),$U504*$J504*Assumptions!$B$4,"NA")</f>
        <v/>
      </c>
      <c r="Y504" s="9">
        <f>IF(ISNUMBER($V504),$V504*$J504*Assumptions!$B$4,"NA")</f>
        <v/>
      </c>
    </row>
    <row r="505">
      <c r="A505" s="5" t="inlineStr">
        <is>
          <t>SSB Parts</t>
        </is>
      </c>
      <c r="B505" s="5" t="inlineStr">
        <is>
          <t>Electrical</t>
        </is>
      </c>
      <c r="C505" s="5" t="inlineStr">
        <is>
          <t>MSM Group LLC</t>
        </is>
      </c>
      <c r="D505" s="5" t="inlineStr">
        <is>
          <t>Trader/Distributor</t>
        </is>
      </c>
      <c r="E505" s="5" t="inlineStr">
        <is>
          <t>Mongolia</t>
        </is>
      </c>
      <c r="F505" s="5" t="n">
        <v>2025</v>
      </c>
      <c r="G505" s="5" t="n">
        <v>6</v>
      </c>
      <c r="H505" s="7" t="n">
        <v>245.4</v>
      </c>
      <c r="I505" s="5" t="inlineStr">
        <is>
          <t>USD</t>
        </is>
      </c>
      <c r="J505" s="8">
        <f>IF($I505="AUD",Assumptions!$B$2,Assumptions!$B$3)</f>
        <v/>
      </c>
      <c r="K505" s="9">
        <f>$G505*$H505*$J505</f>
        <v/>
      </c>
      <c r="L505" s="9">
        <f>$K505*Assumptions!$B$4</f>
        <v/>
      </c>
      <c r="M505" s="9">
        <f>RawTx[[#This Row],[Value USD]]/RawTx[[#This Row],[Quantity]]</f>
        <v/>
      </c>
      <c r="N505" s="9">
        <f>RawTx[[#This Row],[Value IDR]]/RawTx[[#This Row],[Quantity]]</f>
        <v/>
      </c>
      <c r="O505" s="4" t="inlineStr">
        <is>
          <t>CONNECTOR,CABLE;23WAY;2MM;A LUM;RING NUT</t>
        </is>
      </c>
      <c r="P505" s="5" t="inlineStr">
        <is>
          <t>NA</t>
        </is>
      </c>
      <c r="Q505" s="13" t="inlineStr">
        <is>
          <t>NA</t>
        </is>
      </c>
      <c r="R505" s="7" t="n">
        <v>1.2</v>
      </c>
      <c r="S505" s="7">
        <f>IFERROR($R505/$G505,"")</f>
        <v/>
      </c>
      <c r="T505" s="7" t="inlineStr">
        <is>
          <t>NA</t>
        </is>
      </c>
      <c r="U505" s="7" t="inlineStr">
        <is>
          <t>NA</t>
        </is>
      </c>
      <c r="V505" s="7" t="inlineStr">
        <is>
          <t>NA</t>
        </is>
      </c>
      <c r="W505" s="9">
        <f>IF(ISNUMBER($T505),$T505*$J505*Assumptions!$B$4,"NA")</f>
        <v/>
      </c>
      <c r="X505" s="9">
        <f>IF(ISNUMBER($U505),$U505*$J505*Assumptions!$B$4,"NA")</f>
        <v/>
      </c>
      <c r="Y505" s="9">
        <f>IF(ISNUMBER($V505),$V505*$J505*Assumptions!$B$4,"NA")</f>
        <v/>
      </c>
    </row>
    <row r="506">
      <c r="A506" s="5" t="inlineStr">
        <is>
          <t>SSB Parts</t>
        </is>
      </c>
      <c r="B506" s="5" t="inlineStr">
        <is>
          <t>Electrical</t>
        </is>
      </c>
      <c r="C506" s="5" t="inlineStr">
        <is>
          <t>MSM Group LLC</t>
        </is>
      </c>
      <c r="D506" s="5" t="inlineStr">
        <is>
          <t>Trader/Distributor</t>
        </is>
      </c>
      <c r="E506" s="5" t="inlineStr">
        <is>
          <t>Mongolia</t>
        </is>
      </c>
      <c r="F506" s="5" t="n">
        <v>2025</v>
      </c>
      <c r="G506" s="5" t="n">
        <v>5</v>
      </c>
      <c r="H506" s="7" t="n">
        <v>2.73</v>
      </c>
      <c r="I506" s="5" t="inlineStr">
        <is>
          <t>USD</t>
        </is>
      </c>
      <c r="J506" s="8">
        <f>IF($I506="AUD",Assumptions!$B$2,Assumptions!$B$3)</f>
        <v/>
      </c>
      <c r="K506" s="9">
        <f>$G506*$H506*$J506</f>
        <v/>
      </c>
      <c r="L506" s="9">
        <f>$K506*Assumptions!$B$4</f>
        <v/>
      </c>
      <c r="M506" s="9">
        <f>RawTx[[#This Row],[Value USD]]/RawTx[[#This Row],[Quantity]]</f>
        <v/>
      </c>
      <c r="N506" s="9">
        <f>RawTx[[#This Row],[Value IDR]]/RawTx[[#This Row],[Quantity]]</f>
        <v/>
      </c>
      <c r="O506" s="4" t="inlineStr">
        <is>
          <t>NUT HEX:02.5273.14.82;BPW</t>
        </is>
      </c>
      <c r="P506" s="5" t="inlineStr">
        <is>
          <t>NA</t>
        </is>
      </c>
      <c r="Q506" s="13" t="inlineStr">
        <is>
          <t>NA</t>
        </is>
      </c>
      <c r="R506" s="7" t="n">
        <v>0.5</v>
      </c>
      <c r="S506" s="7">
        <f>IFERROR($R506/$G506,"")</f>
        <v/>
      </c>
      <c r="T506" s="7" t="inlineStr">
        <is>
          <t>NA</t>
        </is>
      </c>
      <c r="U506" s="7" t="inlineStr">
        <is>
          <t>NA</t>
        </is>
      </c>
      <c r="V506" s="7" t="inlineStr">
        <is>
          <t>NA</t>
        </is>
      </c>
      <c r="W506" s="9">
        <f>IF(ISNUMBER($T506),$T506*$J506*Assumptions!$B$4,"NA")</f>
        <v/>
      </c>
      <c r="X506" s="9">
        <f>IF(ISNUMBER($U506),$U506*$J506*Assumptions!$B$4,"NA")</f>
        <v/>
      </c>
      <c r="Y506" s="9">
        <f>IF(ISNUMBER($V506),$V506*$J506*Assumptions!$B$4,"NA")</f>
        <v/>
      </c>
    </row>
    <row r="507">
      <c r="A507" s="5" t="inlineStr">
        <is>
          <t>SSB Parts</t>
        </is>
      </c>
      <c r="B507" s="5" t="inlineStr">
        <is>
          <t>Electrical</t>
        </is>
      </c>
      <c r="C507" s="5" t="inlineStr">
        <is>
          <t>MSM Group LLC</t>
        </is>
      </c>
      <c r="D507" s="5" t="inlineStr">
        <is>
          <t>Trader/Distributor</t>
        </is>
      </c>
      <c r="E507" s="5" t="inlineStr">
        <is>
          <t>Mongolia</t>
        </is>
      </c>
      <c r="F507" s="5" t="n">
        <v>2025</v>
      </c>
      <c r="G507" s="5" t="n">
        <v>12</v>
      </c>
      <c r="H507" s="7" t="n">
        <v>0.08</v>
      </c>
      <c r="I507" s="5" t="inlineStr">
        <is>
          <t>USD</t>
        </is>
      </c>
      <c r="J507" s="8">
        <f>IF($I507="AUD",Assumptions!$B$2,Assumptions!$B$3)</f>
        <v/>
      </c>
      <c r="K507" s="9">
        <f>$G507*$H507*$J507</f>
        <v/>
      </c>
      <c r="L507" s="9">
        <f>$K507*Assumptions!$B$4</f>
        <v/>
      </c>
      <c r="M507" s="9">
        <f>RawTx[[#This Row],[Value USD]]/RawTx[[#This Row],[Quantity]]</f>
        <v/>
      </c>
      <c r="N507" s="9">
        <f>RawTx[[#This Row],[Value IDR]]/RawTx[[#This Row],[Quantity]]</f>
        <v/>
      </c>
      <c r="O507" s="4" t="inlineStr">
        <is>
          <t>WASHER:FLAT;8.8;M5;10MM;1MM;ZP</t>
        </is>
      </c>
      <c r="P507" s="5" t="inlineStr">
        <is>
          <t>NA</t>
        </is>
      </c>
      <c r="Q507" s="13" t="inlineStr">
        <is>
          <t>NA</t>
        </is>
      </c>
      <c r="R507" s="7" t="n">
        <v>0.02</v>
      </c>
      <c r="S507" s="7">
        <f>IFERROR($R507/$G507,"")</f>
        <v/>
      </c>
      <c r="T507" s="7" t="inlineStr">
        <is>
          <t>NA</t>
        </is>
      </c>
      <c r="U507" s="7" t="inlineStr">
        <is>
          <t>NA</t>
        </is>
      </c>
      <c r="V507" s="7" t="inlineStr">
        <is>
          <t>NA</t>
        </is>
      </c>
      <c r="W507" s="9">
        <f>IF(ISNUMBER($T507),$T507*$J507*Assumptions!$B$4,"NA")</f>
        <v/>
      </c>
      <c r="X507" s="9">
        <f>IF(ISNUMBER($U507),$U507*$J507*Assumptions!$B$4,"NA")</f>
        <v/>
      </c>
      <c r="Y507" s="9">
        <f>IF(ISNUMBER($V507),$V507*$J507*Assumptions!$B$4,"NA")</f>
        <v/>
      </c>
    </row>
    <row r="508">
      <c r="A508" s="5" t="inlineStr">
        <is>
          <t>SSB Parts</t>
        </is>
      </c>
      <c r="B508" s="5" t="inlineStr">
        <is>
          <t>Electrical</t>
        </is>
      </c>
      <c r="C508" s="5" t="inlineStr">
        <is>
          <t>MSM Group LLC</t>
        </is>
      </c>
      <c r="D508" s="5" t="inlineStr">
        <is>
          <t>Trader/Distributor</t>
        </is>
      </c>
      <c r="E508" s="5" t="inlineStr">
        <is>
          <t>Mongolia</t>
        </is>
      </c>
      <c r="F508" s="5" t="n">
        <v>2025</v>
      </c>
      <c r="G508" s="5" t="n">
        <v>6</v>
      </c>
      <c r="H508" s="7" t="n">
        <v>28.49</v>
      </c>
      <c r="I508" s="5" t="inlineStr">
        <is>
          <t>USD</t>
        </is>
      </c>
      <c r="J508" s="8">
        <f>IF($I508="AUD",Assumptions!$B$2,Assumptions!$B$3)</f>
        <v/>
      </c>
      <c r="K508" s="9">
        <f>$G508*$H508*$J508</f>
        <v/>
      </c>
      <c r="L508" s="9">
        <f>$K508*Assumptions!$B$4</f>
        <v/>
      </c>
      <c r="M508" s="9">
        <f>RawTx[[#This Row],[Value USD]]/RawTx[[#This Row],[Quantity]]</f>
        <v/>
      </c>
      <c r="N508" s="9">
        <f>RawTx[[#This Row],[Value IDR]]/RawTx[[#This Row],[Quantity]]</f>
        <v/>
      </c>
      <c r="O508" s="4" t="inlineStr">
        <is>
          <t>SWITCH,TOGGLE:2;12-24V;20-10A;OFF-ON</t>
        </is>
      </c>
      <c r="P508" s="5" t="inlineStr">
        <is>
          <t>NA</t>
        </is>
      </c>
      <c r="Q508" s="13" t="inlineStr">
        <is>
          <t>NA</t>
        </is>
      </c>
      <c r="R508" s="7" t="n">
        <v>0.54</v>
      </c>
      <c r="S508" s="7">
        <f>IFERROR($R508/$G508,"")</f>
        <v/>
      </c>
      <c r="T508" s="7" t="inlineStr">
        <is>
          <t>NA</t>
        </is>
      </c>
      <c r="U508" s="7" t="inlineStr">
        <is>
          <t>NA</t>
        </is>
      </c>
      <c r="V508" s="7" t="inlineStr">
        <is>
          <t>NA</t>
        </is>
      </c>
      <c r="W508" s="9">
        <f>IF(ISNUMBER($T508),$T508*$J508*Assumptions!$B$4,"NA")</f>
        <v/>
      </c>
      <c r="X508" s="9">
        <f>IF(ISNUMBER($U508),$U508*$J508*Assumptions!$B$4,"NA")</f>
        <v/>
      </c>
      <c r="Y508" s="9">
        <f>IF(ISNUMBER($V508),$V508*$J508*Assumptions!$B$4,"NA")</f>
        <v/>
      </c>
    </row>
    <row r="509">
      <c r="A509" s="5" t="inlineStr">
        <is>
          <t>SSB Parts</t>
        </is>
      </c>
      <c r="B509" s="5" t="inlineStr">
        <is>
          <t>Electrical</t>
        </is>
      </c>
      <c r="C509" s="5" t="inlineStr">
        <is>
          <t>MSM Group LLC</t>
        </is>
      </c>
      <c r="D509" s="5" t="inlineStr">
        <is>
          <t>Trader/Distributor</t>
        </is>
      </c>
      <c r="E509" s="5" t="inlineStr">
        <is>
          <t>Mongolia</t>
        </is>
      </c>
      <c r="F509" s="5" t="n">
        <v>2025</v>
      </c>
      <c r="G509" s="5" t="n">
        <v>6</v>
      </c>
      <c r="H509" s="7" t="n">
        <v>6.93</v>
      </c>
      <c r="I509" s="5" t="inlineStr">
        <is>
          <t>USD</t>
        </is>
      </c>
      <c r="J509" s="8">
        <f>IF($I509="AUD",Assumptions!$B$2,Assumptions!$B$3)</f>
        <v/>
      </c>
      <c r="K509" s="9">
        <f>$G509*$H509*$J509</f>
        <v/>
      </c>
      <c r="L509" s="9">
        <f>$K509*Assumptions!$B$4</f>
        <v/>
      </c>
      <c r="M509" s="9">
        <f>RawTx[[#This Row],[Value USD]]/RawTx[[#This Row],[Quantity]]</f>
        <v/>
      </c>
      <c r="N509" s="9">
        <f>RawTx[[#This Row],[Value IDR]]/RawTx[[#This Row],[Quantity]]</f>
        <v/>
      </c>
      <c r="O509" s="4" t="inlineStr">
        <is>
          <t>FTNG:CONDUIT;STR;16MM;M20;NYLON PA66;BK</t>
        </is>
      </c>
      <c r="P509" s="5" t="inlineStr">
        <is>
          <t>NA</t>
        </is>
      </c>
      <c r="Q509" s="13" t="inlineStr">
        <is>
          <t>NA</t>
        </is>
      </c>
      <c r="R509" s="7" t="n">
        <v>0.89</v>
      </c>
      <c r="S509" s="7">
        <f>IFERROR($R509/$G509,"")</f>
        <v/>
      </c>
      <c r="T509" s="7" t="inlineStr">
        <is>
          <t>NA</t>
        </is>
      </c>
      <c r="U509" s="7" t="inlineStr">
        <is>
          <t>NA</t>
        </is>
      </c>
      <c r="V509" s="7" t="inlineStr">
        <is>
          <t>NA</t>
        </is>
      </c>
      <c r="W509" s="9">
        <f>IF(ISNUMBER($T509),$T509*$J509*Assumptions!$B$4,"NA")</f>
        <v/>
      </c>
      <c r="X509" s="9">
        <f>IF(ISNUMBER($U509),$U509*$J509*Assumptions!$B$4,"NA")</f>
        <v/>
      </c>
      <c r="Y509" s="9">
        <f>IF(ISNUMBER($V509),$V509*$J509*Assumptions!$B$4,"NA")</f>
        <v/>
      </c>
    </row>
    <row r="510">
      <c r="A510" s="5" t="inlineStr">
        <is>
          <t>SSB Parts</t>
        </is>
      </c>
      <c r="B510" s="5" t="inlineStr">
        <is>
          <t>Electrical</t>
        </is>
      </c>
      <c r="C510" s="5" t="inlineStr">
        <is>
          <t>MSM Group LLC</t>
        </is>
      </c>
      <c r="D510" s="5" t="inlineStr">
        <is>
          <t>Trader/Distributor</t>
        </is>
      </c>
      <c r="E510" s="5" t="inlineStr">
        <is>
          <t>Mongolia</t>
        </is>
      </c>
      <c r="F510" s="5" t="n">
        <v>2025</v>
      </c>
      <c r="G510" s="5" t="n">
        <v>12</v>
      </c>
      <c r="H510" s="7" t="n">
        <v>0.14</v>
      </c>
      <c r="I510" s="5" t="inlineStr">
        <is>
          <t>USD</t>
        </is>
      </c>
      <c r="J510" s="8">
        <f>IF($I510="AUD",Assumptions!$B$2,Assumptions!$B$3)</f>
        <v/>
      </c>
      <c r="K510" s="9">
        <f>$G510*$H510*$J510</f>
        <v/>
      </c>
      <c r="L510" s="9">
        <f>$K510*Assumptions!$B$4</f>
        <v/>
      </c>
      <c r="M510" s="9">
        <f>RawTx[[#This Row],[Value USD]]/RawTx[[#This Row],[Quantity]]</f>
        <v/>
      </c>
      <c r="N510" s="9">
        <f>RawTx[[#This Row],[Value IDR]]/RawTx[[#This Row],[Quantity]]</f>
        <v/>
      </c>
      <c r="O510" s="4" t="inlineStr">
        <is>
          <t>SCREW,SELF-LOCK:TAPPING;M4;15MM;PPAB</t>
        </is>
      </c>
      <c r="P510" s="5" t="inlineStr">
        <is>
          <t>NA</t>
        </is>
      </c>
      <c r="Q510" s="13" t="inlineStr">
        <is>
          <t>NA</t>
        </is>
      </c>
      <c r="R510" s="7" t="n">
        <v>0.04</v>
      </c>
      <c r="S510" s="7">
        <f>IFERROR($R510/$G510,"")</f>
        <v/>
      </c>
      <c r="T510" s="7" t="inlineStr">
        <is>
          <t>NA</t>
        </is>
      </c>
      <c r="U510" s="7" t="inlineStr">
        <is>
          <t>NA</t>
        </is>
      </c>
      <c r="V510" s="7" t="inlineStr">
        <is>
          <t>NA</t>
        </is>
      </c>
      <c r="W510" s="9">
        <f>IF(ISNUMBER($T510),$T510*$J510*Assumptions!$B$4,"NA")</f>
        <v/>
      </c>
      <c r="X510" s="9">
        <f>IF(ISNUMBER($U510),$U510*$J510*Assumptions!$B$4,"NA")</f>
        <v/>
      </c>
      <c r="Y510" s="9">
        <f>IF(ISNUMBER($V510),$V510*$J510*Assumptions!$B$4,"NA")</f>
        <v/>
      </c>
    </row>
    <row r="511">
      <c r="A511" s="5" t="inlineStr">
        <is>
          <t>SSB Parts</t>
        </is>
      </c>
      <c r="B511" s="5" t="inlineStr">
        <is>
          <t>Electrical</t>
        </is>
      </c>
      <c r="C511" s="5" t="inlineStr">
        <is>
          <t>MSM Group LLC</t>
        </is>
      </c>
      <c r="D511" s="5" t="inlineStr">
        <is>
          <t>Trader/Distributor</t>
        </is>
      </c>
      <c r="E511" s="5" t="inlineStr">
        <is>
          <t>Mongolia</t>
        </is>
      </c>
      <c r="F511" s="5" t="n">
        <v>2025</v>
      </c>
      <c r="G511" s="5" t="n">
        <v>12</v>
      </c>
      <c r="H511" s="7" t="n">
        <v>0.26</v>
      </c>
      <c r="I511" s="5" t="inlineStr">
        <is>
          <t>USD</t>
        </is>
      </c>
      <c r="J511" s="8">
        <f>IF($I511="AUD",Assumptions!$B$2,Assumptions!$B$3)</f>
        <v/>
      </c>
      <c r="K511" s="9">
        <f>$G511*$H511*$J511</f>
        <v/>
      </c>
      <c r="L511" s="9">
        <f>$K511*Assumptions!$B$4</f>
        <v/>
      </c>
      <c r="M511" s="9">
        <f>RawTx[[#This Row],[Value USD]]/RawTx[[#This Row],[Quantity]]</f>
        <v/>
      </c>
      <c r="N511" s="9">
        <f>RawTx[[#This Row],[Value IDR]]/RawTx[[#This Row],[Quantity]]</f>
        <v/>
      </c>
      <c r="O511" s="4" t="inlineStr">
        <is>
          <t>CONN:CABLE;FEMALE BLD TERM;6.3X0.8MM</t>
        </is>
      </c>
      <c r="P511" s="5" t="inlineStr">
        <is>
          <t>NA</t>
        </is>
      </c>
      <c r="Q511" s="13" t="inlineStr">
        <is>
          <t>NA</t>
        </is>
      </c>
      <c r="R511" s="7" t="n">
        <v>0.07000000000000001</v>
      </c>
      <c r="S511" s="7">
        <f>IFERROR($R511/$G511,"")</f>
        <v/>
      </c>
      <c r="T511" s="7" t="inlineStr">
        <is>
          <t>NA</t>
        </is>
      </c>
      <c r="U511" s="7" t="inlineStr">
        <is>
          <t>NA</t>
        </is>
      </c>
      <c r="V511" s="7" t="inlineStr">
        <is>
          <t>NA</t>
        </is>
      </c>
      <c r="W511" s="9">
        <f>IF(ISNUMBER($T511),$T511*$J511*Assumptions!$B$4,"NA")</f>
        <v/>
      </c>
      <c r="X511" s="9">
        <f>IF(ISNUMBER($U511),$U511*$J511*Assumptions!$B$4,"NA")</f>
        <v/>
      </c>
      <c r="Y511" s="9">
        <f>IF(ISNUMBER($V511),$V511*$J511*Assumptions!$B$4,"NA")</f>
        <v/>
      </c>
    </row>
    <row r="512">
      <c r="A512" s="5" t="inlineStr">
        <is>
          <t>SSB Parts</t>
        </is>
      </c>
      <c r="B512" s="5" t="inlineStr">
        <is>
          <t>Electrical</t>
        </is>
      </c>
      <c r="C512" s="5" t="inlineStr">
        <is>
          <t>MSM Group LLC</t>
        </is>
      </c>
      <c r="D512" s="5" t="inlineStr">
        <is>
          <t>Trader/Distributor</t>
        </is>
      </c>
      <c r="E512" s="5" t="inlineStr">
        <is>
          <t>Mongolia</t>
        </is>
      </c>
      <c r="F512" s="5" t="n">
        <v>2025</v>
      </c>
      <c r="G512" s="5" t="n">
        <v>2</v>
      </c>
      <c r="H512" s="7" t="n">
        <v>7269</v>
      </c>
      <c r="I512" s="5" t="inlineStr">
        <is>
          <t>USD</t>
        </is>
      </c>
      <c r="J512" s="8">
        <f>IF($I512="AUD",Assumptions!$B$2,Assumptions!$B$3)</f>
        <v/>
      </c>
      <c r="K512" s="9">
        <f>$G512*$H512*$J512</f>
        <v/>
      </c>
      <c r="L512" s="9">
        <f>$K512*Assumptions!$B$4</f>
        <v/>
      </c>
      <c r="M512" s="9">
        <f>RawTx[[#This Row],[Value USD]]/RawTx[[#This Row],[Quantity]]</f>
        <v/>
      </c>
      <c r="N512" s="9">
        <f>RawTx[[#This Row],[Value IDR]]/RawTx[[#This Row],[Quantity]]</f>
        <v/>
      </c>
      <c r="O512" s="4" t="inlineStr">
        <is>
          <t>GREASING: SIDE TIPPER 42M3</t>
        </is>
      </c>
      <c r="P512" s="5" t="inlineStr">
        <is>
          <t>NA</t>
        </is>
      </c>
      <c r="Q512" s="13" t="inlineStr">
        <is>
          <t>NA</t>
        </is>
      </c>
      <c r="R512" s="7" t="n">
        <v>266</v>
      </c>
      <c r="S512" s="7">
        <f>IFERROR($R512/$G512,"")</f>
        <v/>
      </c>
      <c r="T512" s="7" t="inlineStr">
        <is>
          <t>NA</t>
        </is>
      </c>
      <c r="U512" s="7" t="inlineStr">
        <is>
          <t>NA</t>
        </is>
      </c>
      <c r="V512" s="7" t="inlineStr">
        <is>
          <t>NA</t>
        </is>
      </c>
      <c r="W512" s="9">
        <f>IF(ISNUMBER($T512),$T512*$J512*Assumptions!$B$4,"NA")</f>
        <v/>
      </c>
      <c r="X512" s="9">
        <f>IF(ISNUMBER($U512),$U512*$J512*Assumptions!$B$4,"NA")</f>
        <v/>
      </c>
      <c r="Y512" s="9">
        <f>IF(ISNUMBER($V512),$V512*$J512*Assumptions!$B$4,"NA")</f>
        <v/>
      </c>
    </row>
    <row r="513">
      <c r="A513" s="5" t="inlineStr">
        <is>
          <t>SSB Parts</t>
        </is>
      </c>
      <c r="B513" s="5" t="inlineStr">
        <is>
          <t>Fasteners and misc</t>
        </is>
      </c>
      <c r="C513" s="5" t="inlineStr">
        <is>
          <t>MSM Group LLC</t>
        </is>
      </c>
      <c r="D513" s="5" t="inlineStr">
        <is>
          <t>Trader/Distributor</t>
        </is>
      </c>
      <c r="E513" s="5" t="inlineStr">
        <is>
          <t>Mongolia</t>
        </is>
      </c>
      <c r="F513" s="5" t="n">
        <v>2025</v>
      </c>
      <c r="G513" s="5" t="n">
        <v>2</v>
      </c>
      <c r="H513" s="7" t="n">
        <v>8.52</v>
      </c>
      <c r="I513" s="5" t="inlineStr">
        <is>
          <t>USD</t>
        </is>
      </c>
      <c r="J513" s="8">
        <f>IF($I513="AUD",Assumptions!$B$2,Assumptions!$B$3)</f>
        <v/>
      </c>
      <c r="K513" s="9">
        <f>$G513*$H513*$J513</f>
        <v/>
      </c>
      <c r="L513" s="9">
        <f>$K513*Assumptions!$B$4</f>
        <v/>
      </c>
      <c r="M513" s="9">
        <f>RawTx[[#This Row],[Value USD]]/RawTx[[#This Row],[Quantity]]</f>
        <v/>
      </c>
      <c r="N513" s="9">
        <f>RawTx[[#This Row],[Value IDR]]/RawTx[[#This Row],[Quantity]]</f>
        <v/>
      </c>
      <c r="O513" s="4" t="inlineStr">
        <is>
          <t>CONNECTOR:ELB;1/8IN BSPT;6MMTUBE;PUSH-IN- F</t>
        </is>
      </c>
      <c r="P513" s="5" t="inlineStr">
        <is>
          <t>NA</t>
        </is>
      </c>
      <c r="Q513" s="13" t="inlineStr">
        <is>
          <t>NA</t>
        </is>
      </c>
      <c r="R513" s="7" t="n">
        <v>1</v>
      </c>
      <c r="S513" s="7">
        <f>IFERROR($R513/$G513,"")</f>
        <v/>
      </c>
      <c r="T513" s="7" t="inlineStr">
        <is>
          <t>NA</t>
        </is>
      </c>
      <c r="U513" s="7" t="inlineStr">
        <is>
          <t>NA</t>
        </is>
      </c>
      <c r="V513" s="7" t="inlineStr">
        <is>
          <t>NA</t>
        </is>
      </c>
      <c r="W513" s="9">
        <f>IF(ISNUMBER($T513),$T513*$J513*Assumptions!$B$4,"NA")</f>
        <v/>
      </c>
      <c r="X513" s="9">
        <f>IF(ISNUMBER($U513),$U513*$J513*Assumptions!$B$4,"NA")</f>
        <v/>
      </c>
      <c r="Y513" s="9">
        <f>IF(ISNUMBER($V513),$V513*$J513*Assumptions!$B$4,"NA")</f>
        <v/>
      </c>
    </row>
    <row r="514">
      <c r="A514" s="5" t="inlineStr">
        <is>
          <t>SSB Parts</t>
        </is>
      </c>
      <c r="B514" s="5" t="inlineStr">
        <is>
          <t>Fasteners and misc</t>
        </is>
      </c>
      <c r="C514" s="5" t="inlineStr">
        <is>
          <t>MSM Group LLC</t>
        </is>
      </c>
      <c r="D514" s="5" t="inlineStr">
        <is>
          <t>Trader/Distributor</t>
        </is>
      </c>
      <c r="E514" s="5" t="inlineStr">
        <is>
          <t>Mongolia</t>
        </is>
      </c>
      <c r="F514" s="5" t="n">
        <v>2025</v>
      </c>
      <c r="G514" s="5" t="n">
        <v>22</v>
      </c>
      <c r="H514" s="7" t="n">
        <v>1.9</v>
      </c>
      <c r="I514" s="5" t="inlineStr">
        <is>
          <t>USD</t>
        </is>
      </c>
      <c r="J514" s="8">
        <f>IF($I514="AUD",Assumptions!$B$2,Assumptions!$B$3)</f>
        <v/>
      </c>
      <c r="K514" s="9">
        <f>$G514*$H514*$J514</f>
        <v/>
      </c>
      <c r="L514" s="9">
        <f>$K514*Assumptions!$B$4</f>
        <v/>
      </c>
      <c r="M514" s="9">
        <f>RawTx[[#This Row],[Value USD]]/RawTx[[#This Row],[Quantity]]</f>
        <v/>
      </c>
      <c r="N514" s="9">
        <f>RawTx[[#This Row],[Value IDR]]/RawTx[[#This Row],[Quantity]]</f>
        <v/>
      </c>
      <c r="O514" s="4" t="inlineStr">
        <is>
          <t>TUBING:PLSTC;6MM;BL;4MM;159664;FESTO- PART</t>
        </is>
      </c>
      <c r="P514" s="5" t="inlineStr">
        <is>
          <t>NA</t>
        </is>
      </c>
      <c r="Q514" s="13" t="inlineStr">
        <is>
          <t>NA</t>
        </is>
      </c>
      <c r="R514" s="7" t="n">
        <v>0.2</v>
      </c>
      <c r="S514" s="7">
        <f>IFERROR($R514/$G514,"")</f>
        <v/>
      </c>
      <c r="T514" s="7" t="inlineStr">
        <is>
          <t>NA</t>
        </is>
      </c>
      <c r="U514" s="7" t="inlineStr">
        <is>
          <t>NA</t>
        </is>
      </c>
      <c r="V514" s="7" t="inlineStr">
        <is>
          <t>NA</t>
        </is>
      </c>
      <c r="W514" s="9">
        <f>IF(ISNUMBER($T514),$T514*$J514*Assumptions!$B$4,"NA")</f>
        <v/>
      </c>
      <c r="X514" s="9">
        <f>IF(ISNUMBER($U514),$U514*$J514*Assumptions!$B$4,"NA")</f>
        <v/>
      </c>
      <c r="Y514" s="9">
        <f>IF(ISNUMBER($V514),$V514*$J514*Assumptions!$B$4,"NA")</f>
        <v/>
      </c>
    </row>
    <row r="515">
      <c r="A515" s="5" t="inlineStr">
        <is>
          <t>SSB Parts</t>
        </is>
      </c>
      <c r="B515" s="5" t="inlineStr">
        <is>
          <t>Fasteners and misc</t>
        </is>
      </c>
      <c r="C515" s="5" t="inlineStr">
        <is>
          <t>MSM Group LLC</t>
        </is>
      </c>
      <c r="D515" s="5" t="inlineStr">
        <is>
          <t>Trader/Distributor</t>
        </is>
      </c>
      <c r="E515" s="5" t="inlineStr">
        <is>
          <t>Mongolia</t>
        </is>
      </c>
      <c r="F515" s="5" t="n">
        <v>2025</v>
      </c>
      <c r="G515" s="5" t="n">
        <v>2</v>
      </c>
      <c r="H515" s="7" t="n">
        <v>2.4</v>
      </c>
      <c r="I515" s="5" t="inlineStr">
        <is>
          <t>USD</t>
        </is>
      </c>
      <c r="J515" s="8">
        <f>IF($I515="AUD",Assumptions!$B$2,Assumptions!$B$3)</f>
        <v/>
      </c>
      <c r="K515" s="9">
        <f>$G515*$H515*$J515</f>
        <v/>
      </c>
      <c r="L515" s="9">
        <f>$K515*Assumptions!$B$4</f>
        <v/>
      </c>
      <c r="M515" s="9">
        <f>RawTx[[#This Row],[Value USD]]/RawTx[[#This Row],[Quantity]]</f>
        <v/>
      </c>
      <c r="N515" s="9">
        <f>RawTx[[#This Row],[Value IDR]]/RawTx[[#This Row],[Quantity]]</f>
        <v/>
      </c>
      <c r="O515" s="4" t="inlineStr">
        <is>
          <t>CONNECTOR:STR;1/8IN BSPT;6MMTUBE;PUSH-IN- I</t>
        </is>
      </c>
      <c r="P515" s="5" t="inlineStr">
        <is>
          <t>NA</t>
        </is>
      </c>
      <c r="Q515" s="13" t="inlineStr">
        <is>
          <t>NA</t>
        </is>
      </c>
      <c r="R515" s="7" t="n">
        <v>0.2</v>
      </c>
      <c r="S515" s="7">
        <f>IFERROR($R515/$G515,"")</f>
        <v/>
      </c>
      <c r="T515" s="7" t="inlineStr">
        <is>
          <t>NA</t>
        </is>
      </c>
      <c r="U515" s="7" t="inlineStr">
        <is>
          <t>NA</t>
        </is>
      </c>
      <c r="V515" s="7" t="inlineStr">
        <is>
          <t>NA</t>
        </is>
      </c>
      <c r="W515" s="9">
        <f>IF(ISNUMBER($T515),$T515*$J515*Assumptions!$B$4,"NA")</f>
        <v/>
      </c>
      <c r="X515" s="9">
        <f>IF(ISNUMBER($U515),$U515*$J515*Assumptions!$B$4,"NA")</f>
        <v/>
      </c>
      <c r="Y515" s="9">
        <f>IF(ISNUMBER($V515),$V515*$J515*Assumptions!$B$4,"NA")</f>
        <v/>
      </c>
    </row>
    <row r="516">
      <c r="A516" s="5" t="inlineStr">
        <is>
          <t>SSB Parts</t>
        </is>
      </c>
      <c r="B516" s="5" t="inlineStr">
        <is>
          <t>Fasteners and misc</t>
        </is>
      </c>
      <c r="C516" s="5" t="inlineStr">
        <is>
          <t>MSM Group LLC</t>
        </is>
      </c>
      <c r="D516" s="5" t="inlineStr">
        <is>
          <t>Trader/Distributor</t>
        </is>
      </c>
      <c r="E516" s="5" t="inlineStr">
        <is>
          <t>Mongolia</t>
        </is>
      </c>
      <c r="F516" s="5" t="n">
        <v>2025</v>
      </c>
      <c r="G516" s="5" t="n">
        <v>1</v>
      </c>
      <c r="H516" s="7" t="n">
        <v>4341.2</v>
      </c>
      <c r="I516" s="5" t="inlineStr">
        <is>
          <t>USD</t>
        </is>
      </c>
      <c r="J516" s="8">
        <f>IF($I516="AUD",Assumptions!$B$2,Assumptions!$B$3)</f>
        <v/>
      </c>
      <c r="K516" s="9">
        <f>$G516*$H516*$J516</f>
        <v/>
      </c>
      <c r="L516" s="9">
        <f>$K516*Assumptions!$B$4</f>
        <v/>
      </c>
      <c r="M516" s="9">
        <f>RawTx[[#This Row],[Value USD]]/RawTx[[#This Row],[Quantity]]</f>
        <v/>
      </c>
      <c r="N516" s="9">
        <f>RawTx[[#This Row],[Value IDR]]/RawTx[[#This Row],[Quantity]]</f>
        <v/>
      </c>
      <c r="O516" s="4" t="inlineStr">
        <is>
          <t>CYLINDER,ACT:MS;150MM;130MM;1690MM- PART N</t>
        </is>
      </c>
      <c r="P516" s="5" t="inlineStr">
        <is>
          <t>NA</t>
        </is>
      </c>
      <c r="Q516" s="13" t="inlineStr">
        <is>
          <t>NA</t>
        </is>
      </c>
      <c r="R516" s="7" t="n">
        <v>120</v>
      </c>
      <c r="S516" s="7">
        <f>IFERROR($R516/$G516,"")</f>
        <v/>
      </c>
      <c r="T516" s="7" t="inlineStr">
        <is>
          <t>NA</t>
        </is>
      </c>
      <c r="U516" s="7" t="inlineStr">
        <is>
          <t>NA</t>
        </is>
      </c>
      <c r="V516" s="7" t="inlineStr">
        <is>
          <t>NA</t>
        </is>
      </c>
      <c r="W516" s="9">
        <f>IF(ISNUMBER($T516),$T516*$J516*Assumptions!$B$4,"NA")</f>
        <v/>
      </c>
      <c r="X516" s="9">
        <f>IF(ISNUMBER($U516),$U516*$J516*Assumptions!$B$4,"NA")</f>
        <v/>
      </c>
      <c r="Y516" s="9">
        <f>IF(ISNUMBER($V516),$V516*$J516*Assumptions!$B$4,"NA")</f>
        <v/>
      </c>
    </row>
    <row r="517">
      <c r="A517" s="5" t="inlineStr">
        <is>
          <t>SSB Parts</t>
        </is>
      </c>
      <c r="B517" s="5" t="inlineStr">
        <is>
          <t>Fasteners and misc</t>
        </is>
      </c>
      <c r="C517" s="5" t="inlineStr">
        <is>
          <t>MSM Group LLC</t>
        </is>
      </c>
      <c r="D517" s="5" t="inlineStr">
        <is>
          <t>Trader/Distributor</t>
        </is>
      </c>
      <c r="E517" s="5" t="inlineStr">
        <is>
          <t>Mongolia</t>
        </is>
      </c>
      <c r="F517" s="5" t="n">
        <v>2025</v>
      </c>
      <c r="G517" s="5" t="n">
        <v>1</v>
      </c>
      <c r="H517" s="7" t="n">
        <v>6.4</v>
      </c>
      <c r="I517" s="5" t="inlineStr">
        <is>
          <t>USD</t>
        </is>
      </c>
      <c r="J517" s="8">
        <f>IF($I517="AUD",Assumptions!$B$2,Assumptions!$B$3)</f>
        <v/>
      </c>
      <c r="K517" s="9">
        <f>$G517*$H517*$J517</f>
        <v/>
      </c>
      <c r="L517" s="9">
        <f>$K517*Assumptions!$B$4</f>
        <v/>
      </c>
      <c r="M517" s="9">
        <f>RawTx[[#This Row],[Value USD]]/RawTx[[#This Row],[Quantity]]</f>
        <v/>
      </c>
      <c r="N517" s="9">
        <f>RawTx[[#This Row],[Value IDR]]/RawTx[[#This Row],[Quantity]]</f>
        <v/>
      </c>
      <c r="O517" s="4" t="inlineStr">
        <is>
          <t>CONNECTOR:TEE;6MM;6MM;6MM;PUSH-IN TUBE-</t>
        </is>
      </c>
      <c r="P517" s="5" t="inlineStr">
        <is>
          <t>NA</t>
        </is>
      </c>
      <c r="Q517" s="13" t="inlineStr">
        <is>
          <t>NA</t>
        </is>
      </c>
      <c r="R517" s="7" t="n">
        <v>0.2</v>
      </c>
      <c r="S517" s="7">
        <f>IFERROR($R517/$G517,"")</f>
        <v/>
      </c>
      <c r="T517" s="7" t="inlineStr">
        <is>
          <t>NA</t>
        </is>
      </c>
      <c r="U517" s="7" t="inlineStr">
        <is>
          <t>NA</t>
        </is>
      </c>
      <c r="V517" s="7" t="inlineStr">
        <is>
          <t>NA</t>
        </is>
      </c>
      <c r="W517" s="9">
        <f>IF(ISNUMBER($T517),$T517*$J517*Assumptions!$B$4,"NA")</f>
        <v/>
      </c>
      <c r="X517" s="9">
        <f>IF(ISNUMBER($U517),$U517*$J517*Assumptions!$B$4,"NA")</f>
        <v/>
      </c>
      <c r="Y517" s="9">
        <f>IF(ISNUMBER($V517),$V517*$J517*Assumptions!$B$4,"NA")</f>
        <v/>
      </c>
    </row>
    <row r="518">
      <c r="A518" s="5" t="inlineStr">
        <is>
          <t>SSB Parts</t>
        </is>
      </c>
      <c r="B518" s="5" t="inlineStr">
        <is>
          <t>Fasteners and misc</t>
        </is>
      </c>
      <c r="C518" s="5" t="inlineStr">
        <is>
          <t>MSM Group LLC</t>
        </is>
      </c>
      <c r="D518" s="5" t="inlineStr">
        <is>
          <t>Trader/Distributor</t>
        </is>
      </c>
      <c r="E518" s="5" t="inlineStr">
        <is>
          <t>Mongolia</t>
        </is>
      </c>
      <c r="F518" s="5" t="n">
        <v>2025</v>
      </c>
      <c r="G518" s="5" t="n">
        <v>1</v>
      </c>
      <c r="H518" s="7" t="n">
        <v>7269.04</v>
      </c>
      <c r="I518" s="5" t="inlineStr">
        <is>
          <t>USD</t>
        </is>
      </c>
      <c r="J518" s="8">
        <f>IF($I518="AUD",Assumptions!$B$2,Assumptions!$B$3)</f>
        <v/>
      </c>
      <c r="K518" s="9">
        <f>$G518*$H518*$J518</f>
        <v/>
      </c>
      <c r="L518" s="9">
        <f>$K518*Assumptions!$B$4</f>
        <v/>
      </c>
      <c r="M518" s="9">
        <f>RawTx[[#This Row],[Value USD]]/RawTx[[#This Row],[Quantity]]</f>
        <v/>
      </c>
      <c r="N518" s="9">
        <f>RawTx[[#This Row],[Value IDR]]/RawTx[[#This Row],[Quantity]]</f>
        <v/>
      </c>
      <c r="O518" s="4" t="inlineStr">
        <is>
          <t>PUMP,LUBE:ALS.;P203;350BAR;8L- PART NO: 644-4</t>
        </is>
      </c>
      <c r="P518" s="5" t="inlineStr">
        <is>
          <t>NA</t>
        </is>
      </c>
      <c r="Q518" s="13" t="inlineStr">
        <is>
          <t>NA</t>
        </is>
      </c>
      <c r="R518" s="7" t="n">
        <v>12</v>
      </c>
      <c r="S518" s="7">
        <f>IFERROR($R518/$G518,"")</f>
        <v/>
      </c>
      <c r="T518" s="7" t="inlineStr">
        <is>
          <t>NA</t>
        </is>
      </c>
      <c r="U518" s="7" t="inlineStr">
        <is>
          <t>NA</t>
        </is>
      </c>
      <c r="V518" s="7" t="inlineStr">
        <is>
          <t>NA</t>
        </is>
      </c>
      <c r="W518" s="9">
        <f>IF(ISNUMBER($T518),$T518*$J518*Assumptions!$B$4,"NA")</f>
        <v/>
      </c>
      <c r="X518" s="9">
        <f>IF(ISNUMBER($U518),$U518*$J518*Assumptions!$B$4,"NA")</f>
        <v/>
      </c>
      <c r="Y518" s="9">
        <f>IF(ISNUMBER($V518),$V518*$J518*Assumptions!$B$4,"NA")</f>
        <v/>
      </c>
    </row>
    <row r="519">
      <c r="A519" s="5" t="inlineStr">
        <is>
          <t>SSB Parts</t>
        </is>
      </c>
      <c r="B519" s="5" t="inlineStr">
        <is>
          <t>Fasteners and misc</t>
        </is>
      </c>
      <c r="C519" s="5" t="inlineStr">
        <is>
          <t>MSM Group LLC</t>
        </is>
      </c>
      <c r="D519" s="5" t="inlineStr">
        <is>
          <t>Trader/Distributor</t>
        </is>
      </c>
      <c r="E519" s="5" t="inlineStr">
        <is>
          <t>Mongolia</t>
        </is>
      </c>
      <c r="F519" s="5" t="n">
        <v>2025</v>
      </c>
      <c r="G519" s="5" t="n">
        <v>1</v>
      </c>
      <c r="H519" s="7" t="n">
        <v>8.199999999999999</v>
      </c>
      <c r="I519" s="5" t="inlineStr">
        <is>
          <t>USD</t>
        </is>
      </c>
      <c r="J519" s="8">
        <f>IF($I519="AUD",Assumptions!$B$2,Assumptions!$B$3)</f>
        <v/>
      </c>
      <c r="K519" s="9">
        <f>$G519*$H519*$J519</f>
        <v/>
      </c>
      <c r="L519" s="9">
        <f>$K519*Assumptions!$B$4</f>
        <v/>
      </c>
      <c r="M519" s="9">
        <f>RawTx[[#This Row],[Value USD]]/RawTx[[#This Row],[Quantity]]</f>
        <v/>
      </c>
      <c r="N519" s="9">
        <f>RawTx[[#This Row],[Value IDR]]/RawTx[[#This Row],[Quantity]]</f>
        <v/>
      </c>
      <c r="O519" s="4" t="inlineStr">
        <is>
          <t>PNEU MUFFLER: SILENCER;1/8 BSPPM;PE- PART NO</t>
        </is>
      </c>
      <c r="P519" s="5" t="inlineStr">
        <is>
          <t>NA</t>
        </is>
      </c>
      <c r="Q519" s="13" t="inlineStr">
        <is>
          <t>NA</t>
        </is>
      </c>
      <c r="R519" s="7" t="n">
        <v>0.2</v>
      </c>
      <c r="S519" s="7">
        <f>IFERROR($R519/$G519,"")</f>
        <v/>
      </c>
      <c r="T519" s="7" t="inlineStr">
        <is>
          <t>NA</t>
        </is>
      </c>
      <c r="U519" s="7" t="inlineStr">
        <is>
          <t>NA</t>
        </is>
      </c>
      <c r="V519" s="7" t="inlineStr">
        <is>
          <t>NA</t>
        </is>
      </c>
      <c r="W519" s="9">
        <f>IF(ISNUMBER($T519),$T519*$J519*Assumptions!$B$4,"NA")</f>
        <v/>
      </c>
      <c r="X519" s="9">
        <f>IF(ISNUMBER($U519),$U519*$J519*Assumptions!$B$4,"NA")</f>
        <v/>
      </c>
      <c r="Y519" s="9">
        <f>IF(ISNUMBER($V519),$V519*$J519*Assumptions!$B$4,"NA")</f>
        <v/>
      </c>
    </row>
    <row r="520">
      <c r="A520" s="5" t="inlineStr">
        <is>
          <t>SSB Parts</t>
        </is>
      </c>
      <c r="B520" s="5" t="inlineStr">
        <is>
          <t>Fasteners and misc</t>
        </is>
      </c>
      <c r="C520" s="5" t="inlineStr">
        <is>
          <t>MSM Group LLC</t>
        </is>
      </c>
      <c r="D520" s="5" t="inlineStr">
        <is>
          <t>Trader/Distributor</t>
        </is>
      </c>
      <c r="E520" s="5" t="inlineStr">
        <is>
          <t>Mongolia</t>
        </is>
      </c>
      <c r="F520" s="5" t="n">
        <v>2025</v>
      </c>
      <c r="G520" s="5" t="n">
        <v>1</v>
      </c>
      <c r="H520" s="7" t="n">
        <v>7.09</v>
      </c>
      <c r="I520" s="5" t="inlineStr">
        <is>
          <t>USD</t>
        </is>
      </c>
      <c r="J520" s="8">
        <f>IF($I520="AUD",Assumptions!$B$2,Assumptions!$B$3)</f>
        <v/>
      </c>
      <c r="K520" s="9">
        <f>$G520*$H520*$J520</f>
        <v/>
      </c>
      <c r="L520" s="9">
        <f>$K520*Assumptions!$B$4</f>
        <v/>
      </c>
      <c r="M520" s="9">
        <f>RawTx[[#This Row],[Value USD]]/RawTx[[#This Row],[Quantity]]</f>
        <v/>
      </c>
      <c r="N520" s="9">
        <f>RawTx[[#This Row],[Value IDR]]/RawTx[[#This Row],[Quantity]]</f>
        <v/>
      </c>
      <c r="O520" s="4" t="inlineStr">
        <is>
          <t>SPRING BRAKE:05.397.26.03.0;BPW- PART NO: 05.3</t>
        </is>
      </c>
      <c r="P520" s="5" t="inlineStr">
        <is>
          <t>NA</t>
        </is>
      </c>
      <c r="Q520" s="13" t="inlineStr">
        <is>
          <t>NA</t>
        </is>
      </c>
      <c r="R520" s="7" t="n">
        <v>12</v>
      </c>
      <c r="S520" s="7">
        <f>IFERROR($R520/$G520,"")</f>
        <v/>
      </c>
      <c r="T520" s="7" t="inlineStr">
        <is>
          <t>NA</t>
        </is>
      </c>
      <c r="U520" s="7" t="inlineStr">
        <is>
          <t>NA</t>
        </is>
      </c>
      <c r="V520" s="7" t="inlineStr">
        <is>
          <t>NA</t>
        </is>
      </c>
      <c r="W520" s="9">
        <f>IF(ISNUMBER($T520),$T520*$J520*Assumptions!$B$4,"NA")</f>
        <v/>
      </c>
      <c r="X520" s="9">
        <f>IF(ISNUMBER($U520),$U520*$J520*Assumptions!$B$4,"NA")</f>
        <v/>
      </c>
      <c r="Y520" s="9">
        <f>IF(ISNUMBER($V520),$V520*$J520*Assumptions!$B$4,"NA")</f>
        <v/>
      </c>
    </row>
    <row r="521">
      <c r="A521" s="5" t="inlineStr">
        <is>
          <t>SSB Parts</t>
        </is>
      </c>
      <c r="B521" s="5" t="inlineStr">
        <is>
          <t>Hydraulics</t>
        </is>
      </c>
      <c r="C521" s="5" t="inlineStr">
        <is>
          <t>MSM Group LLC</t>
        </is>
      </c>
      <c r="D521" s="5" t="inlineStr">
        <is>
          <t>Trader/Distributor</t>
        </is>
      </c>
      <c r="E521" s="5" t="inlineStr">
        <is>
          <t>Mongolia</t>
        </is>
      </c>
      <c r="F521" s="5" t="n">
        <v>2024</v>
      </c>
      <c r="G521" s="5" t="n">
        <v>1</v>
      </c>
      <c r="H521" s="7" t="n">
        <v>2423.01</v>
      </c>
      <c r="I521" s="5" t="inlineStr">
        <is>
          <t>USD</t>
        </is>
      </c>
      <c r="J521" s="8">
        <f>IF($I521="AUD",Assumptions!$B$2,Assumptions!$B$3)</f>
        <v/>
      </c>
      <c r="K521" s="9">
        <f>$G521*$H521*$J521</f>
        <v/>
      </c>
      <c r="L521" s="9">
        <f>$K521*Assumptions!$B$4</f>
        <v/>
      </c>
      <c r="M521" s="9">
        <f>RawTx[[#This Row],[Value USD]]/RawTx[[#This Row],[Quantity]]</f>
        <v/>
      </c>
      <c r="N521" s="9">
        <f>RawTx[[#This Row],[Value IDR]]/RawTx[[#This Row],[Quantity]]</f>
        <v/>
      </c>
      <c r="O521" s="4" t="inlineStr">
        <is>
          <t>CYLINDER,ACT:MS;150MM;130MM;1690MM PART N</t>
        </is>
      </c>
      <c r="P521" s="5" t="inlineStr">
        <is>
          <t>NA</t>
        </is>
      </c>
      <c r="Q521" s="13" t="inlineStr">
        <is>
          <t>NA</t>
        </is>
      </c>
      <c r="R521" s="7" t="n">
        <v>150</v>
      </c>
      <c r="S521" s="7">
        <f>IFERROR($R521/$G521,"")</f>
        <v/>
      </c>
      <c r="T521" s="7" t="inlineStr">
        <is>
          <t>NA</t>
        </is>
      </c>
      <c r="U521" s="7" t="inlineStr">
        <is>
          <t>NA</t>
        </is>
      </c>
      <c r="V521" s="7" t="inlineStr">
        <is>
          <t>NA</t>
        </is>
      </c>
      <c r="W521" s="9">
        <f>IF(ISNUMBER($T521),$T521*$J521*Assumptions!$B$4,"NA")</f>
        <v/>
      </c>
      <c r="X521" s="9">
        <f>IF(ISNUMBER($U521),$U521*$J521*Assumptions!$B$4,"NA")</f>
        <v/>
      </c>
      <c r="Y521" s="9">
        <f>IF(ISNUMBER($V521),$V521*$J521*Assumptions!$B$4,"NA")</f>
        <v/>
      </c>
    </row>
    <row r="522">
      <c r="A522" s="5" t="inlineStr">
        <is>
          <t>SSB Parts</t>
        </is>
      </c>
      <c r="B522" s="5" t="inlineStr">
        <is>
          <t>Hydraulics</t>
        </is>
      </c>
      <c r="C522" s="5" t="inlineStr">
        <is>
          <t>MSM Group LLC</t>
        </is>
      </c>
      <c r="D522" s="5" t="inlineStr">
        <is>
          <t>Trader/Distributor</t>
        </is>
      </c>
      <c r="E522" s="5" t="inlineStr">
        <is>
          <t>Mongolia</t>
        </is>
      </c>
      <c r="F522" s="5" t="n">
        <v>2024</v>
      </c>
      <c r="G522" s="5" t="n">
        <v>1</v>
      </c>
      <c r="H522" s="7" t="n">
        <v>1090.76</v>
      </c>
      <c r="I522" s="5" t="inlineStr">
        <is>
          <t>USD</t>
        </is>
      </c>
      <c r="J522" s="8">
        <f>IF($I522="AUD",Assumptions!$B$2,Assumptions!$B$3)</f>
        <v/>
      </c>
      <c r="K522" s="9">
        <f>$G522*$H522*$J522</f>
        <v/>
      </c>
      <c r="L522" s="9">
        <f>$K522*Assumptions!$B$4</f>
        <v/>
      </c>
      <c r="M522" s="9">
        <f>RawTx[[#This Row],[Value USD]]/RawTx[[#This Row],[Quantity]]</f>
        <v/>
      </c>
      <c r="N522" s="9">
        <f>RawTx[[#This Row],[Value IDR]]/RawTx[[#This Row],[Quantity]]</f>
        <v/>
      </c>
      <c r="O522" s="4" t="inlineStr">
        <is>
          <t>COUPLER,DRAWBAR,RING:50MM;600MM;67MM PA</t>
        </is>
      </c>
      <c r="P522" s="5" t="inlineStr">
        <is>
          <t>NA</t>
        </is>
      </c>
      <c r="Q522" s="13" t="inlineStr">
        <is>
          <t>NA</t>
        </is>
      </c>
      <c r="R522" s="7" t="n">
        <v>35</v>
      </c>
      <c r="S522" s="7">
        <f>IFERROR($R522/$G522,"")</f>
        <v/>
      </c>
      <c r="T522" s="7" t="inlineStr">
        <is>
          <t>NA</t>
        </is>
      </c>
      <c r="U522" s="7" t="inlineStr">
        <is>
          <t>NA</t>
        </is>
      </c>
      <c r="V522" s="7" t="inlineStr">
        <is>
          <t>NA</t>
        </is>
      </c>
      <c r="W522" s="9">
        <f>IF(ISNUMBER($T522),$T522*$J522*Assumptions!$B$4,"NA")</f>
        <v/>
      </c>
      <c r="X522" s="9">
        <f>IF(ISNUMBER($U522),$U522*$J522*Assumptions!$B$4,"NA")</f>
        <v/>
      </c>
      <c r="Y522" s="9">
        <f>IF(ISNUMBER($V522),$V522*$J522*Assumptions!$B$4,"NA")</f>
        <v/>
      </c>
    </row>
    <row r="523">
      <c r="A523" s="5" t="inlineStr">
        <is>
          <t>SSB Parts</t>
        </is>
      </c>
      <c r="B523" s="5" t="inlineStr">
        <is>
          <t>Hydraulics</t>
        </is>
      </c>
      <c r="C523" s="5" t="inlineStr">
        <is>
          <t>MSM Group LLC</t>
        </is>
      </c>
      <c r="D523" s="5" t="inlineStr">
        <is>
          <t>Trader/Distributor</t>
        </is>
      </c>
      <c r="E523" s="5" t="inlineStr">
        <is>
          <t>Mongolia</t>
        </is>
      </c>
      <c r="F523" s="5" t="n">
        <v>2024</v>
      </c>
      <c r="G523" s="5" t="n">
        <v>1</v>
      </c>
      <c r="H523" s="7" t="n">
        <v>4341.23</v>
      </c>
      <c r="I523" s="5" t="inlineStr">
        <is>
          <t>USD</t>
        </is>
      </c>
      <c r="J523" s="8">
        <f>IF($I523="AUD",Assumptions!$B$2,Assumptions!$B$3)</f>
        <v/>
      </c>
      <c r="K523" s="9">
        <f>$G523*$H523*$J523</f>
        <v/>
      </c>
      <c r="L523" s="9">
        <f>$K523*Assumptions!$B$4</f>
        <v/>
      </c>
      <c r="M523" s="9">
        <f>RawTx[[#This Row],[Value USD]]/RawTx[[#This Row],[Quantity]]</f>
        <v/>
      </c>
      <c r="N523" s="9">
        <f>RawTx[[#This Row],[Value IDR]]/RawTx[[#This Row],[Quantity]]</f>
        <v/>
      </c>
      <c r="O523" s="4" t="inlineStr">
        <is>
          <t>CYLINDER,ACT:MS;230MM;200MM;1734MMCYLIND</t>
        </is>
      </c>
      <c r="P523" s="5" t="inlineStr">
        <is>
          <t>NA</t>
        </is>
      </c>
      <c r="Q523" s="13" t="inlineStr">
        <is>
          <t>NA</t>
        </is>
      </c>
      <c r="R523" s="7" t="n">
        <v>310</v>
      </c>
      <c r="S523" s="7">
        <f>IFERROR($R523/$G523,"")</f>
        <v/>
      </c>
      <c r="T523" s="7" t="inlineStr">
        <is>
          <t>NA</t>
        </is>
      </c>
      <c r="U523" s="7" t="inlineStr">
        <is>
          <t>NA</t>
        </is>
      </c>
      <c r="V523" s="7" t="inlineStr">
        <is>
          <t>NA</t>
        </is>
      </c>
      <c r="W523" s="9">
        <f>IF(ISNUMBER($T523),$T523*$J523*Assumptions!$B$4,"NA")</f>
        <v/>
      </c>
      <c r="X523" s="9">
        <f>IF(ISNUMBER($U523),$U523*$J523*Assumptions!$B$4,"NA")</f>
        <v/>
      </c>
      <c r="Y523" s="9">
        <f>IF(ISNUMBER($V523),$V523*$J523*Assumptions!$B$4,"NA")</f>
        <v/>
      </c>
    </row>
    <row r="524">
      <c r="A524" s="5" t="inlineStr">
        <is>
          <t>SSB Parts</t>
        </is>
      </c>
      <c r="B524" s="5" t="inlineStr">
        <is>
          <t>Hydraulics</t>
        </is>
      </c>
      <c r="C524" s="5" t="inlineStr">
        <is>
          <t>MSM Group LLC</t>
        </is>
      </c>
      <c r="D524" s="5" t="inlineStr">
        <is>
          <t>Trader/Distributor</t>
        </is>
      </c>
      <c r="E524" s="5" t="inlineStr">
        <is>
          <t>Mongolia</t>
        </is>
      </c>
      <c r="F524" s="5" t="n">
        <v>2024</v>
      </c>
      <c r="G524" s="5" t="n">
        <v>1</v>
      </c>
      <c r="H524" s="7" t="n">
        <v>4341.23</v>
      </c>
      <c r="I524" s="5" t="inlineStr">
        <is>
          <t>USD</t>
        </is>
      </c>
      <c r="J524" s="8">
        <f>IF($I524="AUD",Assumptions!$B$2,Assumptions!$B$3)</f>
        <v/>
      </c>
      <c r="K524" s="9">
        <f>$G524*$H524*$J524</f>
        <v/>
      </c>
      <c r="L524" s="9">
        <f>$K524*Assumptions!$B$4</f>
        <v/>
      </c>
      <c r="M524" s="9">
        <f>RawTx[[#This Row],[Value USD]]/RawTx[[#This Row],[Quantity]]</f>
        <v/>
      </c>
      <c r="N524" s="9">
        <f>RawTx[[#This Row],[Value IDR]]/RawTx[[#This Row],[Quantity]]</f>
        <v/>
      </c>
      <c r="O524" s="4" t="inlineStr">
        <is>
          <t>CYLINDER,ACT:MS;230MM;200MM;1734MMCYLIND</t>
        </is>
      </c>
      <c r="P524" s="5" t="inlineStr">
        <is>
          <t>NA</t>
        </is>
      </c>
      <c r="Q524" s="13" t="inlineStr">
        <is>
          <t>NA</t>
        </is>
      </c>
      <c r="R524" s="7" t="n">
        <v>310</v>
      </c>
      <c r="S524" s="7">
        <f>IFERROR($R524/$G524,"")</f>
        <v/>
      </c>
      <c r="T524" s="7" t="inlineStr">
        <is>
          <t>NA</t>
        </is>
      </c>
      <c r="U524" s="7" t="inlineStr">
        <is>
          <t>NA</t>
        </is>
      </c>
      <c r="V524" s="7" t="inlineStr">
        <is>
          <t>NA</t>
        </is>
      </c>
      <c r="W524" s="9">
        <f>IF(ISNUMBER($T524),$T524*$J524*Assumptions!$B$4,"NA")</f>
        <v/>
      </c>
      <c r="X524" s="9">
        <f>IF(ISNUMBER($U524),$U524*$J524*Assumptions!$B$4,"NA")</f>
        <v/>
      </c>
      <c r="Y524" s="9">
        <f>IF(ISNUMBER($V524),$V524*$J524*Assumptions!$B$4,"NA")</f>
        <v/>
      </c>
    </row>
    <row r="525">
      <c r="A525" s="5" t="inlineStr">
        <is>
          <t>SSB Parts</t>
        </is>
      </c>
      <c r="B525" s="5" t="inlineStr">
        <is>
          <t>Hydraulics</t>
        </is>
      </c>
      <c r="C525" s="5" t="inlineStr">
        <is>
          <t>MSM Group LLC</t>
        </is>
      </c>
      <c r="D525" s="5" t="inlineStr">
        <is>
          <t>Trader/Distributor</t>
        </is>
      </c>
      <c r="E525" s="5" t="inlineStr">
        <is>
          <t>Mongolia</t>
        </is>
      </c>
      <c r="F525" s="5" t="n">
        <v>2024</v>
      </c>
      <c r="G525" s="5" t="n">
        <v>1</v>
      </c>
      <c r="H525" s="7" t="n">
        <v>1090.76</v>
      </c>
      <c r="I525" s="5" t="inlineStr">
        <is>
          <t>USD</t>
        </is>
      </c>
      <c r="J525" s="8">
        <f>IF($I525="AUD",Assumptions!$B$2,Assumptions!$B$3)</f>
        <v/>
      </c>
      <c r="K525" s="9">
        <f>$G525*$H525*$J525</f>
        <v/>
      </c>
      <c r="L525" s="9">
        <f>$K525*Assumptions!$B$4</f>
        <v/>
      </c>
      <c r="M525" s="9">
        <f>RawTx[[#This Row],[Value USD]]/RawTx[[#This Row],[Quantity]]</f>
        <v/>
      </c>
      <c r="N525" s="9">
        <f>RawTx[[#This Row],[Value IDR]]/RawTx[[#This Row],[Quantity]]</f>
        <v/>
      </c>
      <c r="O525" s="4" t="inlineStr">
        <is>
          <t>COUPLER,DRAWBAR,RING:50MM;600MM;67MM PAI</t>
        </is>
      </c>
      <c r="P525" s="5" t="inlineStr">
        <is>
          <t>NA</t>
        </is>
      </c>
      <c r="Q525" s="13" t="inlineStr">
        <is>
          <t>NA</t>
        </is>
      </c>
      <c r="R525" s="7" t="n">
        <v>35</v>
      </c>
      <c r="S525" s="7">
        <f>IFERROR($R525/$G525,"")</f>
        <v/>
      </c>
      <c r="T525" s="7" t="inlineStr">
        <is>
          <t>NA</t>
        </is>
      </c>
      <c r="U525" s="7" t="inlineStr">
        <is>
          <t>NA</t>
        </is>
      </c>
      <c r="V525" s="7" t="inlineStr">
        <is>
          <t>NA</t>
        </is>
      </c>
      <c r="W525" s="9">
        <f>IF(ISNUMBER($T525),$T525*$J525*Assumptions!$B$4,"NA")</f>
        <v/>
      </c>
      <c r="X525" s="9">
        <f>IF(ISNUMBER($U525),$U525*$J525*Assumptions!$B$4,"NA")</f>
        <v/>
      </c>
      <c r="Y525" s="9">
        <f>IF(ISNUMBER($V525),$V525*$J525*Assumptions!$B$4,"NA")</f>
        <v/>
      </c>
    </row>
    <row r="526">
      <c r="A526" s="5" t="inlineStr">
        <is>
          <t>SSB Parts</t>
        </is>
      </c>
      <c r="B526" s="5" t="inlineStr">
        <is>
          <t>Hydraulics</t>
        </is>
      </c>
      <c r="C526" s="5" t="inlineStr">
        <is>
          <t>MSM Group LLC</t>
        </is>
      </c>
      <c r="D526" s="5" t="inlineStr">
        <is>
          <t>Trader/Distributor</t>
        </is>
      </c>
      <c r="E526" s="5" t="inlineStr">
        <is>
          <t>Mongolia</t>
        </is>
      </c>
      <c r="F526" s="5" t="n">
        <v>2024</v>
      </c>
      <c r="G526" s="5" t="n">
        <v>1</v>
      </c>
      <c r="H526" s="7" t="n">
        <v>2423.01</v>
      </c>
      <c r="I526" s="5" t="inlineStr">
        <is>
          <t>USD</t>
        </is>
      </c>
      <c r="J526" s="8">
        <f>IF($I526="AUD",Assumptions!$B$2,Assumptions!$B$3)</f>
        <v/>
      </c>
      <c r="K526" s="9">
        <f>$G526*$H526*$J526</f>
        <v/>
      </c>
      <c r="L526" s="9">
        <f>$K526*Assumptions!$B$4</f>
        <v/>
      </c>
      <c r="M526" s="9">
        <f>RawTx[[#This Row],[Value USD]]/RawTx[[#This Row],[Quantity]]</f>
        <v/>
      </c>
      <c r="N526" s="9">
        <f>RawTx[[#This Row],[Value IDR]]/RawTx[[#This Row],[Quantity]]</f>
        <v/>
      </c>
      <c r="O526" s="4" t="inlineStr">
        <is>
          <t>CYLINDER,ACT:MS;150MM;130MM;1690MM PART N</t>
        </is>
      </c>
      <c r="P526" s="5" t="inlineStr">
        <is>
          <t>NA</t>
        </is>
      </c>
      <c r="Q526" s="13" t="inlineStr">
        <is>
          <t>NA</t>
        </is>
      </c>
      <c r="R526" s="7" t="n">
        <v>150</v>
      </c>
      <c r="S526" s="7">
        <f>IFERROR($R526/$G526,"")</f>
        <v/>
      </c>
      <c r="T526" s="7" t="inlineStr">
        <is>
          <t>NA</t>
        </is>
      </c>
      <c r="U526" s="7" t="inlineStr">
        <is>
          <t>NA</t>
        </is>
      </c>
      <c r="V526" s="7" t="inlineStr">
        <is>
          <t>NA</t>
        </is>
      </c>
      <c r="W526" s="9">
        <f>IF(ISNUMBER($T526),$T526*$J526*Assumptions!$B$4,"NA")</f>
        <v/>
      </c>
      <c r="X526" s="9">
        <f>IF(ISNUMBER($U526),$U526*$J526*Assumptions!$B$4,"NA")</f>
        <v/>
      </c>
      <c r="Y526" s="9">
        <f>IF(ISNUMBER($V526),$V526*$J526*Assumptions!$B$4,"NA")</f>
        <v/>
      </c>
    </row>
    <row r="527">
      <c r="A527" s="5" t="inlineStr">
        <is>
          <t>Nusatama Berkah</t>
        </is>
      </c>
      <c r="B527" s="11" t="inlineStr">
        <is>
          <t>Tanks and service modules</t>
        </is>
      </c>
      <c r="C527" s="5" t="inlineStr">
        <is>
          <t>HBS PNG Limited</t>
        </is>
      </c>
      <c r="D527" s="5" t="inlineStr">
        <is>
          <t>Trader/Distributor</t>
        </is>
      </c>
      <c r="E527" s="5" t="inlineStr">
        <is>
          <t>Papua New Guinea</t>
        </is>
      </c>
      <c r="F527" s="5" t="n">
        <v>2025</v>
      </c>
      <c r="G527" s="5" t="n">
        <v>1</v>
      </c>
      <c r="H527" s="7" t="n">
        <v>60000</v>
      </c>
      <c r="I527" s="5" t="inlineStr">
        <is>
          <t>USD</t>
        </is>
      </c>
      <c r="J527" s="8">
        <f>IF($I527="AUD",Assumptions!$B$2,Assumptions!$B$3)</f>
        <v/>
      </c>
      <c r="K527" s="9">
        <f>$G527*$H527*$J527</f>
        <v/>
      </c>
      <c r="L527" s="9">
        <f>$K527*Assumptions!$B$4</f>
        <v/>
      </c>
      <c r="M527" s="9">
        <f>RawTx[[#This Row],[Value USD]]/RawTx[[#This Row],[Quantity]]</f>
        <v/>
      </c>
      <c r="N527" s="9">
        <f>RawTx[[#This Row],[Value IDR]]/RawTx[[#This Row],[Quantity]]</f>
        <v/>
      </c>
      <c r="O527" s="4" t="inlineStr">
        <is>
          <t>FLATDECK WITH CABINET (LUBE SERVICE MODULE) &amp; A...</t>
        </is>
      </c>
      <c r="P527" s="5" t="inlineStr">
        <is>
          <t>NA</t>
        </is>
      </c>
      <c r="Q527" s="13" t="inlineStr">
        <is>
          <t>NA</t>
        </is>
      </c>
      <c r="R527" s="7" t="n">
        <v>2998.7</v>
      </c>
      <c r="S527" s="7">
        <f>IFERROR($R527/$G527,"")</f>
        <v/>
      </c>
      <c r="T527" s="7" t="inlineStr">
        <is>
          <t>NA</t>
        </is>
      </c>
      <c r="U527" s="7" t="inlineStr">
        <is>
          <t>NA</t>
        </is>
      </c>
      <c r="V527" s="7" t="inlineStr">
        <is>
          <t>NA</t>
        </is>
      </c>
      <c r="W527" s="9">
        <f>IF(ISNUMBER($T527),$T527*$J527*Assumptions!$B$4,"NA")</f>
        <v/>
      </c>
      <c r="X527" s="9">
        <f>IF(ISNUMBER($U527),$U527*$J527*Assumptions!$B$4,"NA")</f>
        <v/>
      </c>
      <c r="Y527" s="9">
        <f>IF(ISNUMBER($V527),$V527*$J527*Assumptions!$B$4,"NA")</f>
        <v/>
      </c>
    </row>
    <row r="528">
      <c r="A528" s="5" t="inlineStr">
        <is>
          <t>Nusatama Berkah</t>
        </is>
      </c>
      <c r="B528" s="11" t="inlineStr">
        <is>
          <t>Tanks and service modules</t>
        </is>
      </c>
      <c r="C528" s="5" t="inlineStr">
        <is>
          <t>HBS PNG Limited</t>
        </is>
      </c>
      <c r="D528" s="5" t="inlineStr">
        <is>
          <t>Trader/Distributor</t>
        </is>
      </c>
      <c r="E528" s="5" t="inlineStr">
        <is>
          <t>Papua New Guinea</t>
        </is>
      </c>
      <c r="F528" s="5" t="n">
        <v>2025</v>
      </c>
      <c r="G528" s="5" t="n">
        <v>1</v>
      </c>
      <c r="H528" s="7" t="n">
        <v>27599</v>
      </c>
      <c r="I528" s="5" t="inlineStr">
        <is>
          <t>USD</t>
        </is>
      </c>
      <c r="J528" s="8">
        <f>IF($I528="AUD",Assumptions!$B$2,Assumptions!$B$3)</f>
        <v/>
      </c>
      <c r="K528" s="9">
        <f>$G528*$H528*$J528</f>
        <v/>
      </c>
      <c r="L528" s="9">
        <f>$K528*Assumptions!$B$4</f>
        <v/>
      </c>
      <c r="M528" s="9">
        <f>RawTx[[#This Row],[Value USD]]/RawTx[[#This Row],[Quantity]]</f>
        <v/>
      </c>
      <c r="N528" s="9">
        <f>RawTx[[#This Row],[Value IDR]]/RawTx[[#This Row],[Quantity]]</f>
        <v/>
      </c>
      <c r="O528" s="4" t="inlineStr">
        <is>
          <t>FUEL TANK CAP 8,000 LITER &amp; ACCESSORIES</t>
        </is>
      </c>
      <c r="P528" s="5" t="inlineStr">
        <is>
          <t>NA</t>
        </is>
      </c>
      <c r="Q528" s="13" t="inlineStr">
        <is>
          <t>NA</t>
        </is>
      </c>
      <c r="R528" s="7" t="n">
        <v>1581</v>
      </c>
      <c r="S528" s="7">
        <f>IFERROR($R528/$G528,"")</f>
        <v/>
      </c>
      <c r="T528" s="7" t="inlineStr">
        <is>
          <t>NA</t>
        </is>
      </c>
      <c r="U528" s="7" t="inlineStr">
        <is>
          <t>NA</t>
        </is>
      </c>
      <c r="V528" s="7" t="inlineStr">
        <is>
          <t>NA</t>
        </is>
      </c>
      <c r="W528" s="9">
        <f>IF(ISNUMBER($T528),$T528*$J528*Assumptions!$B$4,"NA")</f>
        <v/>
      </c>
      <c r="X528" s="9">
        <f>IF(ISNUMBER($U528),$U528*$J528*Assumptions!$B$4,"NA")</f>
        <v/>
      </c>
      <c r="Y528" s="9">
        <f>IF(ISNUMBER($V528),$V528*$J528*Assumptions!$B$4,"NA")</f>
        <v/>
      </c>
    </row>
    <row r="529">
      <c r="A529" s="5" t="inlineStr">
        <is>
          <t>Nusatama Berkah</t>
        </is>
      </c>
      <c r="B529" s="5" t="inlineStr">
        <is>
          <t>Trailers</t>
        </is>
      </c>
      <c r="C529" s="5" t="inlineStr">
        <is>
          <t>HBS PNG Limited</t>
        </is>
      </c>
      <c r="D529" s="5" t="inlineStr">
        <is>
          <t>Trader/Distributor</t>
        </is>
      </c>
      <c r="E529" s="5" t="inlineStr">
        <is>
          <t>Papua New Guinea</t>
        </is>
      </c>
      <c r="F529" s="5" t="n">
        <v>2023</v>
      </c>
      <c r="G529" s="5" t="n">
        <v>1</v>
      </c>
      <c r="H529" s="7" t="n">
        <v>70000</v>
      </c>
      <c r="I529" s="5" t="inlineStr">
        <is>
          <t>USD</t>
        </is>
      </c>
      <c r="J529" s="8">
        <f>IF($I529="AUD",Assumptions!$B$2,Assumptions!$B$3)</f>
        <v/>
      </c>
      <c r="K529" s="9">
        <f>$G529*$H529*$J529</f>
        <v/>
      </c>
      <c r="L529" s="9">
        <f>$K529*Assumptions!$B$4</f>
        <v/>
      </c>
      <c r="M529" s="9">
        <f>RawTx[[#This Row],[Value USD]]/RawTx[[#This Row],[Quantity]]</f>
        <v/>
      </c>
      <c r="N529" s="9">
        <f>RawTx[[#This Row],[Value IDR]]/RawTx[[#This Row],[Quantity]]</f>
        <v/>
      </c>
      <c r="O529" s="4" t="inlineStr">
        <is>
          <t>22KL VACUUM TRAILER (VIN. VT022-231002)AND CABIN</t>
        </is>
      </c>
      <c r="P529" s="5" t="inlineStr">
        <is>
          <t>NA</t>
        </is>
      </c>
      <c r="Q529" s="13" t="inlineStr">
        <is>
          <t>NA</t>
        </is>
      </c>
      <c r="R529" s="7" t="n">
        <v>20514</v>
      </c>
      <c r="S529" s="7">
        <f>IFERROR($R529/$G529,"")</f>
        <v/>
      </c>
      <c r="T529" s="7" t="inlineStr">
        <is>
          <t>NA</t>
        </is>
      </c>
      <c r="U529" s="7" t="inlineStr">
        <is>
          <t>NA</t>
        </is>
      </c>
      <c r="V529" s="7" t="inlineStr">
        <is>
          <t>NA</t>
        </is>
      </c>
      <c r="W529" s="9">
        <f>IF(ISNUMBER($T529),$T529*$J529*Assumptions!$B$4,"NA")</f>
        <v/>
      </c>
      <c r="X529" s="9">
        <f>IF(ISNUMBER($U529),$U529*$J529*Assumptions!$B$4,"NA")</f>
        <v/>
      </c>
      <c r="Y529" s="9">
        <f>IF(ISNUMBER($V529),$V529*$J529*Assumptions!$B$4,"NA")</f>
        <v/>
      </c>
    </row>
    <row r="530">
      <c r="A530" s="5" t="inlineStr">
        <is>
          <t>Nusatama Berkah</t>
        </is>
      </c>
      <c r="B530" s="5" t="inlineStr">
        <is>
          <t>Trailers</t>
        </is>
      </c>
      <c r="C530" s="5" t="inlineStr">
        <is>
          <t>HBS PNG Limited</t>
        </is>
      </c>
      <c r="D530" s="5" t="inlineStr">
        <is>
          <t>Trader/Distributor</t>
        </is>
      </c>
      <c r="E530" s="5" t="inlineStr">
        <is>
          <t>Papua New Guinea</t>
        </is>
      </c>
      <c r="F530" s="5" t="n">
        <v>2023</v>
      </c>
      <c r="G530" s="5" t="n">
        <v>1</v>
      </c>
      <c r="H530" s="7" t="n">
        <v>70000</v>
      </c>
      <c r="I530" s="5" t="inlineStr">
        <is>
          <t>USD</t>
        </is>
      </c>
      <c r="J530" s="8">
        <f>IF($I530="AUD",Assumptions!$B$2,Assumptions!$B$3)</f>
        <v/>
      </c>
      <c r="K530" s="9">
        <f>$G530*$H530*$J530</f>
        <v/>
      </c>
      <c r="L530" s="9">
        <f>$K530*Assumptions!$B$4</f>
        <v/>
      </c>
      <c r="M530" s="9">
        <f>RawTx[[#This Row],[Value USD]]/RawTx[[#This Row],[Quantity]]</f>
        <v/>
      </c>
      <c r="N530" s="9">
        <f>RawTx[[#This Row],[Value IDR]]/RawTx[[#This Row],[Quantity]]</f>
        <v/>
      </c>
      <c r="O530" s="4" t="inlineStr">
        <is>
          <t>22KL VACUUM TRAILER (VIN. VT022-231003)AND CABIN</t>
        </is>
      </c>
      <c r="P530" s="5" t="inlineStr">
        <is>
          <t>NA</t>
        </is>
      </c>
      <c r="Q530" s="13" t="inlineStr">
        <is>
          <t>NA</t>
        </is>
      </c>
      <c r="R530" s="7" t="n">
        <v>20514</v>
      </c>
      <c r="S530" s="7">
        <f>IFERROR($R530/$G530,"")</f>
        <v/>
      </c>
      <c r="T530" s="7" t="inlineStr">
        <is>
          <t>NA</t>
        </is>
      </c>
      <c r="U530" s="7" t="inlineStr">
        <is>
          <t>NA</t>
        </is>
      </c>
      <c r="V530" s="7" t="inlineStr">
        <is>
          <t>NA</t>
        </is>
      </c>
      <c r="W530" s="9">
        <f>IF(ISNUMBER($T530),$T530*$J530*Assumptions!$B$4,"NA")</f>
        <v/>
      </c>
      <c r="X530" s="9">
        <f>IF(ISNUMBER($U530),$U530*$J530*Assumptions!$B$4,"NA")</f>
        <v/>
      </c>
      <c r="Y530" s="9">
        <f>IF(ISNUMBER($V530),$V530*$J530*Assumptions!$B$4,"NA")</f>
        <v/>
      </c>
    </row>
    <row r="531">
      <c r="A531" s="5" t="inlineStr">
        <is>
          <t>Nusatama Berkah</t>
        </is>
      </c>
      <c r="B531" s="5" t="inlineStr">
        <is>
          <t>Trailers</t>
        </is>
      </c>
      <c r="C531" s="5" t="inlineStr">
        <is>
          <t>HBS PNG Limited</t>
        </is>
      </c>
      <c r="D531" s="5" t="inlineStr">
        <is>
          <t>Trader/Distributor</t>
        </is>
      </c>
      <c r="E531" s="5" t="inlineStr">
        <is>
          <t>Papua New Guinea</t>
        </is>
      </c>
      <c r="F531" s="5" t="n">
        <v>2023</v>
      </c>
      <c r="G531" s="5" t="n">
        <v>1</v>
      </c>
      <c r="H531" s="7" t="n">
        <v>70000</v>
      </c>
      <c r="I531" s="5" t="inlineStr">
        <is>
          <t>USD</t>
        </is>
      </c>
      <c r="J531" s="8">
        <f>IF($I531="AUD",Assumptions!$B$2,Assumptions!$B$3)</f>
        <v/>
      </c>
      <c r="K531" s="9">
        <f>$G531*$H531*$J531</f>
        <v/>
      </c>
      <c r="L531" s="9">
        <f>$K531*Assumptions!$B$4</f>
        <v/>
      </c>
      <c r="M531" s="9">
        <f>RawTx[[#This Row],[Value USD]]/RawTx[[#This Row],[Quantity]]</f>
        <v/>
      </c>
      <c r="N531" s="9">
        <f>RawTx[[#This Row],[Value IDR]]/RawTx[[#This Row],[Quantity]]</f>
        <v/>
      </c>
      <c r="O531" s="4" t="inlineStr">
        <is>
          <t>22KL VACUUM TRAILER (VIN. VT022-231001)AND CABIN</t>
        </is>
      </c>
      <c r="P531" s="5" t="inlineStr">
        <is>
          <t>NA</t>
        </is>
      </c>
      <c r="Q531" s="13" t="inlineStr">
        <is>
          <t>NA</t>
        </is>
      </c>
      <c r="R531" s="7" t="n">
        <v>20514</v>
      </c>
      <c r="S531" s="7">
        <f>IFERROR($R531/$G531,"")</f>
        <v/>
      </c>
      <c r="T531" s="7" t="inlineStr">
        <is>
          <t>NA</t>
        </is>
      </c>
      <c r="U531" s="7" t="inlineStr">
        <is>
          <t>NA</t>
        </is>
      </c>
      <c r="V531" s="7" t="inlineStr">
        <is>
          <t>NA</t>
        </is>
      </c>
      <c r="W531" s="9">
        <f>IF(ISNUMBER($T531),$T531*$J531*Assumptions!$B$4,"NA")</f>
        <v/>
      </c>
      <c r="X531" s="9">
        <f>IF(ISNUMBER($U531),$U531*$J531*Assumptions!$B$4,"NA")</f>
        <v/>
      </c>
      <c r="Y531" s="9">
        <f>IF(ISNUMBER($V531),$V531*$J531*Assumptions!$B$4,"NA")</f>
        <v/>
      </c>
    </row>
    <row r="532">
      <c r="A532" s="5" t="inlineStr">
        <is>
          <t>Austin Engineering</t>
        </is>
      </c>
      <c r="B532" s="11" t="inlineStr">
        <is>
          <t>Dump bodies/truck trays</t>
        </is>
      </c>
      <c r="C532" s="5" t="inlineStr">
        <is>
          <t>Lihir Gold Limited</t>
        </is>
      </c>
      <c r="D532" s="5" t="inlineStr">
        <is>
          <t>Owner</t>
        </is>
      </c>
      <c r="E532" s="5" t="inlineStr">
        <is>
          <t>Papua New Guinea</t>
        </is>
      </c>
      <c r="F532" s="5" t="n">
        <v>2026</v>
      </c>
      <c r="G532" s="5" t="n">
        <v>1</v>
      </c>
      <c r="H532" s="7" t="n">
        <v>200892.84</v>
      </c>
      <c r="I532" s="5" t="inlineStr">
        <is>
          <t>AUD</t>
        </is>
      </c>
      <c r="J532" s="8">
        <f>IF($I532="AUD",Assumptions!$B$2,Assumptions!$B$3)</f>
        <v/>
      </c>
      <c r="K532" s="9">
        <f>$G532*$H532*$J532</f>
        <v/>
      </c>
      <c r="L532" s="9">
        <f>$K532*Assumptions!$B$4</f>
        <v/>
      </c>
      <c r="M532" s="9">
        <f>RawTx[[#This Row],[Value USD]]/RawTx[[#This Row],[Quantity]]</f>
        <v/>
      </c>
      <c r="N532" s="9">
        <f>RawTx[[#This Row],[Value IDR]]/RawTx[[#This Row],[Quantity]]</f>
        <v/>
      </c>
      <c r="O532" s="4" t="inlineStr">
        <is>
          <t>1 X MN9288185: CHASSIS:785D, CAT, 466-2908PO. REFERENCE : 4501771115</t>
        </is>
      </c>
      <c r="P532" s="5" t="inlineStr">
        <is>
          <t>Caterpillar</t>
        </is>
      </c>
      <c r="Q532" s="13" t="inlineStr">
        <is>
          <t>785D</t>
        </is>
      </c>
      <c r="R532" s="7" t="n">
        <v>25330</v>
      </c>
      <c r="S532" s="7">
        <f>IFERROR($R532/$G532,"")</f>
        <v/>
      </c>
      <c r="T532" s="7" t="inlineStr">
        <is>
          <t>NA</t>
        </is>
      </c>
      <c r="U532" s="7" t="inlineStr">
        <is>
          <t>NA</t>
        </is>
      </c>
      <c r="V532" s="7" t="inlineStr">
        <is>
          <t>NA</t>
        </is>
      </c>
      <c r="W532" s="9">
        <f>IF(ISNUMBER($T532),$T532*$J532*Assumptions!$B$4,"NA")</f>
        <v/>
      </c>
      <c r="X532" s="9">
        <f>IF(ISNUMBER($U532),$U532*$J532*Assumptions!$B$4,"NA")</f>
        <v/>
      </c>
      <c r="Y532" s="9">
        <f>IF(ISNUMBER($V532),$V532*$J532*Assumptions!$B$4,"NA")</f>
        <v/>
      </c>
    </row>
    <row r="533">
      <c r="A533" s="5" t="inlineStr">
        <is>
          <t>Austin Engineering</t>
        </is>
      </c>
      <c r="B533" s="11" t="inlineStr">
        <is>
          <t>Dump bodies/truck trays</t>
        </is>
      </c>
      <c r="C533" s="5" t="inlineStr">
        <is>
          <t>Thriveni Sainik Mining Private Limited</t>
        </is>
      </c>
      <c r="D533" s="5" t="inlineStr">
        <is>
          <t>Contractor</t>
        </is>
      </c>
      <c r="E533" s="5" t="inlineStr">
        <is>
          <t>India</t>
        </is>
      </c>
      <c r="F533" s="5" t="n">
        <v>2026</v>
      </c>
      <c r="G533" s="5" t="n">
        <v>2</v>
      </c>
      <c r="H533" s="7" t="n">
        <v>103800</v>
      </c>
      <c r="I533" s="5" t="inlineStr">
        <is>
          <t>USD</t>
        </is>
      </c>
      <c r="J533" s="8">
        <f>IF($I533="AUD",Assumptions!$B$2,Assumptions!$B$3)</f>
        <v/>
      </c>
      <c r="K533" s="9">
        <f>$G533*$H533*$J533</f>
        <v/>
      </c>
      <c r="L533" s="9">
        <f>$K533*Assumptions!$B$4</f>
        <v/>
      </c>
      <c r="M533" s="9">
        <f>RawTx[[#This Row],[Value USD]]/RawTx[[#This Row],[Quantity]]</f>
        <v/>
      </c>
      <c r="N533" s="9">
        <f>RawTx[[#This Row],[Value IDR]]/RawTx[[#This Row],[Quantity]]</f>
        <v/>
      </c>
      <c r="O533" s="4" t="inlineStr">
        <is>
          <t>KOMATSU HD785-7 JEC LD BODY - 177935 C/W ACCESSORIESPO REFERENCE : 690(</t>
        </is>
      </c>
      <c r="P533" s="5" t="inlineStr">
        <is>
          <t>Komatsu</t>
        </is>
      </c>
      <c r="Q533" s="13" t="inlineStr">
        <is>
          <t>HD785-7</t>
        </is>
      </c>
      <c r="R533" s="7" t="n">
        <v>35798</v>
      </c>
      <c r="S533" s="7">
        <f>IFERROR($R533/$G533,"")</f>
        <v/>
      </c>
      <c r="T533" s="7" t="n">
        <v>4152</v>
      </c>
      <c r="U533" s="7" t="n">
        <v>434.09</v>
      </c>
      <c r="V533" s="7" t="n">
        <v>207600</v>
      </c>
      <c r="W533" s="9">
        <f>IF(ISNUMBER($T533),$T533*$J533*Assumptions!$B$4,"NA")</f>
        <v/>
      </c>
      <c r="X533" s="9">
        <f>IF(ISNUMBER($U533),$U533*$J533*Assumptions!$B$4,"NA")</f>
        <v/>
      </c>
      <c r="Y533" s="9">
        <f>IF(ISNUMBER($V533),$V533*$J533*Assumptions!$B$4,"NA")</f>
        <v/>
      </c>
    </row>
    <row r="534">
      <c r="A534" s="5" t="inlineStr">
        <is>
          <t>Austin Engineering</t>
        </is>
      </c>
      <c r="B534" s="11" t="inlineStr">
        <is>
          <t>Dump bodies/truck trays</t>
        </is>
      </c>
      <c r="C534" s="5" t="inlineStr">
        <is>
          <t>Thriveni Earthmovers and Infra Private</t>
        </is>
      </c>
      <c r="D534" s="5" t="inlineStr">
        <is>
          <t>Contractor</t>
        </is>
      </c>
      <c r="E534" s="5" t="inlineStr">
        <is>
          <t>India</t>
        </is>
      </c>
      <c r="F534" s="5" t="n">
        <v>2026</v>
      </c>
      <c r="G534" s="5" t="n">
        <v>5</v>
      </c>
      <c r="H534" s="7" t="n">
        <v>98784</v>
      </c>
      <c r="I534" s="5" t="inlineStr">
        <is>
          <t>USD</t>
        </is>
      </c>
      <c r="J534" s="8">
        <f>IF($I534="AUD",Assumptions!$B$2,Assumptions!$B$3)</f>
        <v/>
      </c>
      <c r="K534" s="9">
        <f>$G534*$H534*$J534</f>
        <v/>
      </c>
      <c r="L534" s="9">
        <f>$K534*Assumptions!$B$4</f>
        <v/>
      </c>
      <c r="M534" s="9">
        <f>RawTx[[#This Row],[Value USD]]/RawTx[[#This Row],[Quantity]]</f>
        <v/>
      </c>
      <c r="N534" s="9">
        <f>RawTx[[#This Row],[Value IDR]]/RawTx[[#This Row],[Quantity]]</f>
        <v/>
      </c>
      <c r="O534" s="4" t="inlineStr">
        <is>
          <t>SUPPLY OF 5 UNITS AUSTIN MAKE ULTIMA BODY FOR KOMATSU HD 785-7 DUMP TR</t>
        </is>
      </c>
      <c r="P534" s="5" t="inlineStr">
        <is>
          <t>Komatsu</t>
        </is>
      </c>
      <c r="Q534" s="14" t="inlineStr">
        <is>
          <t>HD785-7</t>
        </is>
      </c>
      <c r="R534" s="7" t="n">
        <v>72275</v>
      </c>
      <c r="S534" s="7">
        <f>IFERROR($R534/$G534,"")</f>
        <v/>
      </c>
      <c r="T534" s="7" t="n">
        <v>9878.4</v>
      </c>
      <c r="U534" s="7" t="n">
        <v>1032.79</v>
      </c>
      <c r="V534" s="7" t="n">
        <v>493920</v>
      </c>
      <c r="W534" s="9">
        <f>IF(ISNUMBER($T534),$T534*$J534*Assumptions!$B$4,"NA")</f>
        <v/>
      </c>
      <c r="X534" s="9">
        <f>IF(ISNUMBER($U534),$U534*$J534*Assumptions!$B$4,"NA")</f>
        <v/>
      </c>
      <c r="Y534" s="9">
        <f>IF(ISNUMBER($V534),$V534*$J534*Assumptions!$B$4,"NA")</f>
        <v/>
      </c>
    </row>
    <row r="535">
      <c r="M535" s="17" t="n"/>
      <c r="N535" s="17" t="n"/>
      <c r="Q535" s="18" t="n"/>
    </row>
  </sheetData>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2"/>
  <sheetViews>
    <sheetView zoomScaleNormal="100" workbookViewId="0">
      <selection activeCell="F4" sqref="F4"/>
    </sheetView>
  </sheetViews>
  <sheetFormatPr baseColWidth="8" defaultColWidth="8.6328125" defaultRowHeight="14.5"/>
  <cols>
    <col width="22" customWidth="1" style="16" min="1" max="1"/>
    <col width="98" customWidth="1" style="16" min="2" max="2"/>
  </cols>
  <sheetData>
    <row r="1">
      <c r="A1" s="1" t="inlineStr">
        <is>
          <t>Item</t>
        </is>
      </c>
      <c r="B1" s="1" t="inlineStr">
        <is>
          <t>Detail</t>
        </is>
      </c>
    </row>
    <row r="2" ht="48" customHeight="1" s="16">
      <c r="A2" s="2" t="inlineStr">
        <is>
          <t>Structure</t>
        </is>
      </c>
      <c r="B2" s="4" t="inlineStr">
        <is>
          <t>Raw Data holds one row per transaction as an Excel table (RawTx) with header filters. Filter any column to isolate exact transactions with their original goods description, brand, model, net weight and customer category.</t>
        </is>
      </c>
    </row>
    <row r="3" ht="48" customHeight="1" s="16">
      <c r="A3" s="2" t="inlineStr">
        <is>
          <t>Buyer name merges</t>
        </is>
      </c>
      <c r="B3" s="4" t="inlineStr">
        <is>
          <t>Six buyer names were merged per instruction: Austin Enginnering Limited (2023/2024 rows) to Austin Engineering Limited, Tuprag Metal Madencilik Sanayi ve Tic to Tuprag Metal Madencilik, Gounkoto to Gounkoto SA, HBS Machinery PNG to HBS PNG Limited, Monrobe Consolidated Goldfields to Morobe Consolidated Goldfields Limited, Quad Efficient Engineeringpty Limited to Quad Efficient Engineering Pty Limited, and AST Trading Inc to Advanced Steel Technology.</t>
        </is>
      </c>
    </row>
    <row r="4" ht="48" customHeight="1" s="16">
      <c r="A4" s="2" t="inlineStr">
        <is>
          <t>Two Austin entities</t>
        </is>
      </c>
      <c r="B4" s="4" t="inlineStr">
        <is>
          <t>Austin Engineering Limited and Austin Enginnering Limited (double-N) remain separate for 2025 data, as the source platform lists them as distinct importers. Both are classified as Principal (manufacturer/body-builder).</t>
        </is>
      </c>
    </row>
    <row r="5" ht="48" customHeight="1" s="16">
      <c r="A5" s="2" t="inlineStr">
        <is>
          <t>Customer Category</t>
        </is>
      </c>
      <c r="B5" s="4" t="inlineStr">
        <is>
          <t>Owner, Contractor, Principal, Trader/Distributor or Fabricator, verified per buyer against public industry sources (company websites, mining news, Wikipedia), not inferred from name alone. See Assumptions for definitions used.</t>
        </is>
      </c>
    </row>
    <row r="6" ht="48" customHeight="1" s="16">
      <c r="A6" s="2" t="inlineStr">
        <is>
          <t>Brand / Type-Model</t>
        </is>
      </c>
      <c r="B6" s="4" t="inlineStr">
        <is>
          <t>Extracted from Original Goods Description only where the truck brand and model are explicitly identifiable. Spare parts, tanks, trailers, cyanide sparge tanks and generic hardware are marked NA rather than guessed.</t>
        </is>
      </c>
    </row>
    <row r="7" ht="48" customHeight="1" s="16">
      <c r="A7" s="2" t="inlineStr">
        <is>
          <t>IDR conversion</t>
        </is>
      </c>
      <c r="B7" s="4" t="inlineStr">
        <is>
          <t>Value IDR = Value USD x rate in Assumptions!B4 (17,500). Edit that one cell to refresh every sheet, including Raw Data and every pivot's Total IDR column.</t>
        </is>
      </c>
    </row>
    <row r="8" ht="48" customHeight="1" s="16">
      <c r="A8" s="2" t="inlineStr">
        <is>
          <t>Dropped rows</t>
        </is>
      </c>
      <c r="B8" s="4" t="inlineStr">
        <is>
          <t>10 rows with non-integer quantity were removed (Orica Australia / SSB Unit / 2026). 8 rows of 'Komatsu 830 Ultima/Westech Truck Bodies Components' (Austin, Australia, 2023) were removed per instruction.</t>
        </is>
      </c>
    </row>
    <row r="9" ht="48" customHeight="1" s="16">
      <c r="A9" s="2" t="inlineStr">
        <is>
          <t>Every combination shown</t>
        </is>
      </c>
      <c r="B9" s="4" t="inlineStr">
        <is>
          <t>P5 Full Matrix lists all categories x competitors including zero-value combinations, so a competitor's absence from a category is a real zero, not a missing row.</t>
        </is>
      </c>
    </row>
    <row r="10" ht="48" customHeight="1" s="16">
      <c r="A10" s="2" t="inlineStr">
        <is>
          <t>P6 new sheet</t>
        </is>
      </c>
      <c r="B10" s="4" t="inlineStr">
        <is>
          <t>Customer Category x Competitor shows which competitor sells most to Owners vs Contractors vs Fabricators vs Traders vs Principals.</t>
        </is>
      </c>
    </row>
    <row r="11" ht="48" customHeight="1" s="16">
      <c r="A11" s="2" t="inlineStr">
        <is>
          <t>2026</t>
        </is>
      </c>
      <c r="B11" s="4" t="inlineStr">
        <is>
          <t>Covers January to September 2026 only.</t>
        </is>
      </c>
    </row>
    <row r="12" ht="48" customHeight="1" s="16">
      <c r="A12" s="2" t="inlineStr">
        <is>
          <t>Formulas</t>
        </is>
      </c>
      <c r="B12" s="4" t="inlineStr">
        <is>
          <t>All pivots use live SUMIFS/COUNTIFS against Raw Data. Insert new rows inside the RawTx table and every pivot updates automatically.</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2026-09-09T07:54:10Z</dcterms:created>
  <dcterms:modified xmlns:dcterms="http://purl.org/dc/terms/" xmlns:xsi="http://www.w3.org/2001/XMLSchema-instance" xsi:type="dcterms:W3CDTF">2026-09-28T13:43:47Z</dcterms:modified>
  <cp:lastModifiedBy>Yohannes Eurico Christanto - TRIATRA</cp:lastModifiedBy>
  <cp:revision>0</cp:revision>
</cp:coreProperties>
</file>