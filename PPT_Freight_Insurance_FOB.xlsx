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PT Data" sheetId="1" state="visible" r:id="rId1"/>
    <sheet xmlns:r="http://schemas.openxmlformats.org/officeDocument/2006/relationships" name="Assumptions" sheetId="2" state="visible" r:id="rId2"/>
  </sheets>
  <definedNames>
    <definedName name="_xlnm._FilterDatabase" localSheetId="0" hidden="1">'PPT Data'!$A$1:$N$185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Arial"/>
      <family val="2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FF3D3D3D"/>
        <bgColor rgb="FF3333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2" fontId="5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6" customWidth="1" min="2" max="2"/>
    <col width="6" customWidth="1" min="3" max="3"/>
    <col width="13" customWidth="1" min="4" max="4"/>
    <col width="13" customWidth="1" min="5" max="5"/>
    <col width="15" customWidth="1" min="6" max="6"/>
    <col width="13" customWidth="1" min="7" max="7"/>
    <col width="26" customWidth="1" min="8" max="8"/>
    <col width="9" customWidth="1" min="9" max="9"/>
    <col width="14" customWidth="1" min="10" max="10"/>
    <col width="16" customWidth="1" min="11" max="11"/>
    <col width="18" customWidth="1" min="12" max="12"/>
    <col width="18" customWidth="1" min="13" max="13"/>
    <col width="18" customWidth="1" min="14" max="14"/>
  </cols>
  <sheetData>
    <row r="1">
      <c r="A1" s="3" t="inlineStr">
        <is>
          <t>Goods Description</t>
        </is>
      </c>
      <c r="B1" s="3" t="inlineStr">
        <is>
          <t>Buyer Name</t>
        </is>
      </c>
      <c r="C1" s="3" t="inlineStr">
        <is>
          <t>Qty</t>
        </is>
      </c>
      <c r="D1" s="3" t="inlineStr">
        <is>
          <t>Insurance</t>
        </is>
      </c>
      <c r="E1" s="3" t="inlineStr">
        <is>
          <t>Freight</t>
        </is>
      </c>
      <c r="F1" s="3" t="inlineStr">
        <is>
          <t>FOB Value</t>
        </is>
      </c>
      <c r="G1" s="3" t="inlineStr">
        <is>
          <t>Net Weight</t>
        </is>
      </c>
      <c r="H1" s="3" t="inlineStr">
        <is>
          <t>Country</t>
        </is>
      </c>
      <c r="I1" s="3" t="inlineStr">
        <is>
          <t>Currency</t>
        </is>
      </c>
      <c r="J1" s="3" t="inlineStr">
        <is>
          <t>Brand</t>
        </is>
      </c>
      <c r="K1" s="3" t="inlineStr">
        <is>
          <t>Type/Model</t>
        </is>
      </c>
      <c r="L1" s="3" t="inlineStr">
        <is>
          <t>Insurance IDR</t>
        </is>
      </c>
      <c r="M1" s="3" t="inlineStr">
        <is>
          <t>Freight IDR</t>
        </is>
      </c>
      <c r="N1" s="3" t="inlineStr">
        <is>
          <t>FOB IDR</t>
        </is>
      </c>
    </row>
    <row r="2">
      <c r="A2" t="inlineStr">
        <is>
          <t>RTIO - KOMATSU 930E - 4 HPT STD (177390B) - WEST ANGELAS</t>
        </is>
      </c>
      <c r="B2" t="inlineStr">
        <is>
          <t>Hamersley Iron Pty Limited</t>
        </is>
      </c>
      <c r="C2" t="n">
        <v>3</v>
      </c>
      <c r="D2" s="2" t="n">
        <v>3593.37</v>
      </c>
      <c r="E2" s="2" t="n">
        <v>34369.86</v>
      </c>
      <c r="F2" s="2" t="n">
        <v>867926.91</v>
      </c>
      <c r="G2" s="2" t="n">
        <v>101070</v>
      </c>
      <c r="H2" t="inlineStr">
        <is>
          <t>Australia</t>
        </is>
      </c>
      <c r="I2" t="inlineStr">
        <is>
          <t>AUD</t>
        </is>
      </c>
      <c r="J2" t="inlineStr">
        <is>
          <t>Komatsu</t>
        </is>
      </c>
      <c r="K2" t="inlineStr">
        <is>
          <t>930E</t>
        </is>
      </c>
      <c r="L2" s="4">
        <f>$D2*IF($I2="AUD",Assumptions!$B$2,Assumptions!$B$3)*Assumptions!$B$4</f>
        <v/>
      </c>
      <c r="M2" s="4">
        <f>$E2*IF($I2="AUD",Assumptions!$B$2,Assumptions!$B$3)*Assumptions!$B$4</f>
        <v/>
      </c>
      <c r="N2" s="4">
        <f>$F2*IF($I2="AUD",Assumptions!$B$2,Assumptions!$B$3)*Assumptions!$B$4</f>
        <v/>
      </c>
    </row>
    <row r="3">
      <c r="A3" t="inlineStr">
        <is>
          <t>RTIO - KOMATSU 930E - 4 HPT STD (177390C) - WEST ANGELA</t>
        </is>
      </c>
      <c r="B3" t="inlineStr">
        <is>
          <t>Hamersley Iron Pty Limited</t>
        </is>
      </c>
      <c r="C3" t="n">
        <v>3</v>
      </c>
      <c r="D3" s="2" t="n">
        <v>3593.37</v>
      </c>
      <c r="E3" s="2" t="n">
        <v>34369.86</v>
      </c>
      <c r="F3" s="2" t="n">
        <v>850566</v>
      </c>
      <c r="G3" s="2" t="n">
        <v>100650</v>
      </c>
      <c r="H3" t="inlineStr">
        <is>
          <t>Australia</t>
        </is>
      </c>
      <c r="I3" t="inlineStr">
        <is>
          <t>AUD</t>
        </is>
      </c>
      <c r="J3" t="inlineStr">
        <is>
          <t>Komatsu</t>
        </is>
      </c>
      <c r="K3" t="inlineStr">
        <is>
          <t>930E</t>
        </is>
      </c>
      <c r="L3" s="4">
        <f>$D3*IF($I3="AUD",Assumptions!$B$2,Assumptions!$B$3)*Assumptions!$B$4</f>
        <v/>
      </c>
      <c r="M3" s="4">
        <f>$E3*IF($I3="AUD",Assumptions!$B$2,Assumptions!$B$3)*Assumptions!$B$4</f>
        <v/>
      </c>
      <c r="N3" s="4">
        <f>$F3*IF($I3="AUD",Assumptions!$B$2,Assumptions!$B$3)*Assumptions!$B$4</f>
        <v/>
      </c>
    </row>
    <row r="4">
      <c r="A4" t="inlineStr">
        <is>
          <t>RTIO - KOMATSU 830E-1 HPT STD - MESA A C/W ACCESSORIES</t>
        </is>
      </c>
      <c r="B4" t="inlineStr">
        <is>
          <t>Hamersley Iron Pty Limited</t>
        </is>
      </c>
      <c r="C4" t="n">
        <v>6</v>
      </c>
      <c r="D4" s="2" t="n">
        <v>9692.639999999999</v>
      </c>
      <c r="E4" s="2" t="n">
        <v>252851.4</v>
      </c>
      <c r="F4" s="2" t="n">
        <v>1685676</v>
      </c>
      <c r="G4" s="2" t="n">
        <v>166524</v>
      </c>
      <c r="H4" t="inlineStr">
        <is>
          <t>Australia</t>
        </is>
      </c>
      <c r="I4" t="inlineStr">
        <is>
          <t>AUD</t>
        </is>
      </c>
      <c r="J4" t="inlineStr">
        <is>
          <t>Komatsu</t>
        </is>
      </c>
      <c r="K4" t="inlineStr">
        <is>
          <t>830E</t>
        </is>
      </c>
      <c r="L4" s="4">
        <f>$D4*IF($I4="AUD",Assumptions!$B$2,Assumptions!$B$3)*Assumptions!$B$4</f>
        <v/>
      </c>
      <c r="M4" s="4">
        <f>$E4*IF($I4="AUD",Assumptions!$B$2,Assumptions!$B$3)*Assumptions!$B$4</f>
        <v/>
      </c>
      <c r="N4" s="4">
        <f>$F4*IF($I4="AUD",Assumptions!$B$2,Assumptions!$B$3)*Assumptions!$B$4</f>
        <v/>
      </c>
    </row>
    <row r="5">
      <c r="A5" t="inlineStr">
        <is>
          <t>RTIO - KOMATSU 830E-1 HPT STD-HOPE DOWNS 4 C/W ACCES</t>
        </is>
      </c>
      <c r="B5" t="inlineStr">
        <is>
          <t>Hamersley Iron Pty Limited</t>
        </is>
      </c>
      <c r="C5" t="n">
        <v>4</v>
      </c>
      <c r="D5" s="2" t="n">
        <v>3524.75</v>
      </c>
      <c r="E5" s="2" t="n">
        <v>33713.52</v>
      </c>
      <c r="F5" s="2" t="n">
        <v>1123784</v>
      </c>
      <c r="G5" s="2" t="n">
        <v>111016</v>
      </c>
      <c r="H5" t="inlineStr">
        <is>
          <t>Australia</t>
        </is>
      </c>
      <c r="I5" t="inlineStr">
        <is>
          <t>AUD</t>
        </is>
      </c>
      <c r="J5" t="inlineStr">
        <is>
          <t>Komatsu</t>
        </is>
      </c>
      <c r="K5" t="inlineStr">
        <is>
          <t>830E</t>
        </is>
      </c>
      <c r="L5" s="4">
        <f>$D5*IF($I5="AUD",Assumptions!$B$2,Assumptions!$B$3)*Assumptions!$B$4</f>
        <v/>
      </c>
      <c r="M5" s="4">
        <f>$E5*IF($I5="AUD",Assumptions!$B$2,Assumptions!$B$3)*Assumptions!$B$4</f>
        <v/>
      </c>
      <c r="N5" s="4">
        <f>$F5*IF($I5="AUD",Assumptions!$B$2,Assumptions!$B$3)*Assumptions!$B$4</f>
        <v/>
      </c>
    </row>
    <row r="6">
      <c r="A6" t="inlineStr">
        <is>
          <t>RTIO - KOMATSU 830E-1 HPT STD - MESA A C/W ACCESSORIES</t>
        </is>
      </c>
      <c r="B6" t="inlineStr">
        <is>
          <t>Hamersley Iron Pty Limited</t>
        </is>
      </c>
      <c r="C6" t="n">
        <v>2</v>
      </c>
      <c r="D6" s="2" t="n">
        <v>3524.75</v>
      </c>
      <c r="E6" s="2" t="n">
        <v>33713.52</v>
      </c>
      <c r="F6" s="2" t="n">
        <v>561892</v>
      </c>
      <c r="G6" s="2" t="n">
        <v>55508</v>
      </c>
      <c r="H6" t="inlineStr">
        <is>
          <t>Australia</t>
        </is>
      </c>
      <c r="I6" t="inlineStr">
        <is>
          <t>AUD</t>
        </is>
      </c>
      <c r="J6" t="inlineStr">
        <is>
          <t>Komatsu</t>
        </is>
      </c>
      <c r="K6" t="inlineStr">
        <is>
          <t>830E</t>
        </is>
      </c>
      <c r="L6" s="4">
        <f>$D6*IF($I6="AUD",Assumptions!$B$2,Assumptions!$B$3)*Assumptions!$B$4</f>
        <v/>
      </c>
      <c r="M6" s="4">
        <f>$E6*IF($I6="AUD",Assumptions!$B$2,Assumptions!$B$3)*Assumptions!$B$4</f>
        <v/>
      </c>
      <c r="N6" s="4">
        <f>$F6*IF($I6="AUD",Assumptions!$B$2,Assumptions!$B$3)*Assumptions!$B$4</f>
        <v/>
      </c>
    </row>
    <row r="7">
      <c r="A7" t="inlineStr">
        <is>
          <t>RTIO - KOM 830E-1 HPT STD - BROCKMAN 4 C/W ACCESSORIES</t>
        </is>
      </c>
      <c r="B7" t="inlineStr">
        <is>
          <t>Hamersley Iron Pty Limited</t>
        </is>
      </c>
      <c r="C7" t="n">
        <v>3</v>
      </c>
      <c r="D7" s="2" t="n">
        <v>9692.639999999999</v>
      </c>
      <c r="E7" s="2" t="n">
        <v>252851.4</v>
      </c>
      <c r="F7" s="2" t="n">
        <v>842838</v>
      </c>
      <c r="G7" s="2" t="n">
        <v>83262</v>
      </c>
      <c r="H7" t="inlineStr">
        <is>
          <t>Australia</t>
        </is>
      </c>
      <c r="I7" t="inlineStr">
        <is>
          <t>AUD</t>
        </is>
      </c>
      <c r="J7" t="inlineStr">
        <is>
          <t>Komatsu</t>
        </is>
      </c>
      <c r="K7" t="inlineStr">
        <is>
          <t>830E</t>
        </is>
      </c>
      <c r="L7" s="4">
        <f>$D7*IF($I7="AUD",Assumptions!$B$2,Assumptions!$B$3)*Assumptions!$B$4</f>
        <v/>
      </c>
      <c r="M7" s="4">
        <f>$E7*IF($I7="AUD",Assumptions!$B$2,Assumptions!$B$3)*Assumptions!$B$4</f>
        <v/>
      </c>
      <c r="N7" s="4">
        <f>$F7*IF($I7="AUD",Assumptions!$B$2,Assumptions!$B$3)*Assumptions!$B$4</f>
        <v/>
      </c>
    </row>
    <row r="8">
      <c r="A8" t="inlineStr">
        <is>
          <t>RTIO - KOM 830E-1 HPT STD - HOPE DOWN 1 C/W ACCESSORIE</t>
        </is>
      </c>
      <c r="B8" t="inlineStr">
        <is>
          <t>Hamersley Iron Pty Limited</t>
        </is>
      </c>
      <c r="C8" t="n">
        <v>3</v>
      </c>
      <c r="D8" s="2" t="n">
        <v>9692.639999999999</v>
      </c>
      <c r="E8" s="2" t="n">
        <v>252851.4</v>
      </c>
      <c r="F8" s="2" t="n">
        <v>842838</v>
      </c>
      <c r="G8" s="2" t="n">
        <v>83262</v>
      </c>
      <c r="H8" t="inlineStr">
        <is>
          <t>Australia</t>
        </is>
      </c>
      <c r="I8" t="inlineStr">
        <is>
          <t>AUD</t>
        </is>
      </c>
      <c r="J8" t="inlineStr">
        <is>
          <t>Komatsu</t>
        </is>
      </c>
      <c r="K8" t="inlineStr">
        <is>
          <t>830E</t>
        </is>
      </c>
      <c r="L8" s="4">
        <f>$D8*IF($I8="AUD",Assumptions!$B$2,Assumptions!$B$3)*Assumptions!$B$4</f>
        <v/>
      </c>
      <c r="M8" s="4">
        <f>$E8*IF($I8="AUD",Assumptions!$B$2,Assumptions!$B$3)*Assumptions!$B$4</f>
        <v/>
      </c>
      <c r="N8" s="4">
        <f>$F8*IF($I8="AUD",Assumptions!$B$2,Assumptions!$B$3)*Assumptions!$B$4</f>
        <v/>
      </c>
    </row>
    <row r="9">
      <c r="A9" t="inlineStr">
        <is>
          <t>RTIO - KOM 830E-1 HPT STD - BROCKMAN 4 C/W ACCESSORIES</t>
        </is>
      </c>
      <c r="B9" t="inlineStr">
        <is>
          <t>Hamersley Iron Pty Limited</t>
        </is>
      </c>
      <c r="C9" t="n">
        <v>6</v>
      </c>
      <c r="D9" s="2" t="n">
        <v>3524.75</v>
      </c>
      <c r="E9" s="2" t="n">
        <v>33713.52</v>
      </c>
      <c r="F9" s="2" t="n">
        <v>1685676</v>
      </c>
      <c r="G9" s="2" t="n">
        <v>166524</v>
      </c>
      <c r="H9" t="inlineStr">
        <is>
          <t>Australia</t>
        </is>
      </c>
      <c r="I9" t="inlineStr">
        <is>
          <t>AUD</t>
        </is>
      </c>
      <c r="J9" t="inlineStr">
        <is>
          <t>Komatsu</t>
        </is>
      </c>
      <c r="K9" t="inlineStr">
        <is>
          <t>830E</t>
        </is>
      </c>
      <c r="L9" s="4">
        <f>$D9*IF($I9="AUD",Assumptions!$B$2,Assumptions!$B$3)*Assumptions!$B$4</f>
        <v/>
      </c>
      <c r="M9" s="4">
        <f>$E9*IF($I9="AUD",Assumptions!$B$2,Assumptions!$B$3)*Assumptions!$B$4</f>
        <v/>
      </c>
      <c r="N9" s="4">
        <f>$F9*IF($I9="AUD",Assumptions!$B$2,Assumptions!$B$3)*Assumptions!$B$4</f>
        <v/>
      </c>
    </row>
    <row r="10">
      <c r="A10" t="inlineStr">
        <is>
          <t>RTIO-KOM 830E-5 HPT STD (177394B) HOPE DOWNS 1 EXP C/W</t>
        </is>
      </c>
      <c r="B10" t="inlineStr">
        <is>
          <t>Hamersley Iron Pty Limited</t>
        </is>
      </c>
      <c r="C10" t="n">
        <v>2</v>
      </c>
      <c r="D10" s="2" t="n">
        <v>9783.02</v>
      </c>
      <c r="E10" s="2" t="n">
        <v>255209.24</v>
      </c>
      <c r="F10" s="2" t="n">
        <v>573697.9399999999</v>
      </c>
      <c r="G10" s="2" t="n">
        <v>56850</v>
      </c>
      <c r="H10" t="inlineStr">
        <is>
          <t>Australia</t>
        </is>
      </c>
      <c r="I10" t="inlineStr">
        <is>
          <t>AUD</t>
        </is>
      </c>
      <c r="J10" t="inlineStr">
        <is>
          <t>Komatsu</t>
        </is>
      </c>
      <c r="K10" t="inlineStr">
        <is>
          <t>830E</t>
        </is>
      </c>
      <c r="L10" s="4">
        <f>$D10*IF($I10="AUD",Assumptions!$B$2,Assumptions!$B$3)*Assumptions!$B$4</f>
        <v/>
      </c>
      <c r="M10" s="4">
        <f>$E10*IF($I10="AUD",Assumptions!$B$2,Assumptions!$B$3)*Assumptions!$B$4</f>
        <v/>
      </c>
      <c r="N10" s="4">
        <f>$F10*IF($I10="AUD",Assumptions!$B$2,Assumptions!$B$3)*Assumptions!$B$4</f>
        <v/>
      </c>
    </row>
    <row r="11">
      <c r="A11" t="inlineStr">
        <is>
          <t>RTIO - KOM 830E-1 HPT STD - BROCKMAN 4 C/W ACCESSORIES</t>
        </is>
      </c>
      <c r="B11" t="inlineStr">
        <is>
          <t>Hamersley Iron Pty Limited</t>
        </is>
      </c>
      <c r="C11" t="n">
        <v>3</v>
      </c>
      <c r="D11" s="2" t="n">
        <v>9783.02</v>
      </c>
      <c r="E11" s="2" t="n">
        <v>255209.24</v>
      </c>
      <c r="F11" s="2" t="n">
        <v>842838</v>
      </c>
      <c r="G11" s="2" t="n">
        <v>83262</v>
      </c>
      <c r="H11" t="inlineStr">
        <is>
          <t>Australia</t>
        </is>
      </c>
      <c r="I11" t="inlineStr">
        <is>
          <t>AUD</t>
        </is>
      </c>
      <c r="J11" t="inlineStr">
        <is>
          <t>Komatsu</t>
        </is>
      </c>
      <c r="K11" t="inlineStr">
        <is>
          <t>830E</t>
        </is>
      </c>
      <c r="L11" s="4">
        <f>$D11*IF($I11="AUD",Assumptions!$B$2,Assumptions!$B$3)*Assumptions!$B$4</f>
        <v/>
      </c>
      <c r="M11" s="4">
        <f>$E11*IF($I11="AUD",Assumptions!$B$2,Assumptions!$B$3)*Assumptions!$B$4</f>
        <v/>
      </c>
      <c r="N11" s="4">
        <f>$F11*IF($I11="AUD",Assumptions!$B$2,Assumptions!$B$3)*Assumptions!$B$4</f>
        <v/>
      </c>
    </row>
    <row r="12">
      <c r="A12" t="inlineStr">
        <is>
          <t>RTIO - KOM 830E-5 HPT STD-BROCKMAN 4 C/W ACCESSORIES</t>
        </is>
      </c>
      <c r="B12" t="inlineStr">
        <is>
          <t>Hamersley Iron Pty Limited</t>
        </is>
      </c>
      <c r="C12" t="n">
        <v>1</v>
      </c>
      <c r="D12" s="2" t="n">
        <v>9783.02</v>
      </c>
      <c r="E12" s="2" t="n">
        <v>255209.24</v>
      </c>
      <c r="F12" s="2" t="n">
        <v>284859</v>
      </c>
      <c r="G12" s="2" t="n">
        <v>28425</v>
      </c>
      <c r="H12" t="inlineStr">
        <is>
          <t>Australia</t>
        </is>
      </c>
      <c r="I12" t="inlineStr">
        <is>
          <t>AUD</t>
        </is>
      </c>
      <c r="J12" t="inlineStr">
        <is>
          <t>Komatsu</t>
        </is>
      </c>
      <c r="K12" t="inlineStr">
        <is>
          <t>830E</t>
        </is>
      </c>
      <c r="L12" s="4">
        <f>$D12*IF($I12="AUD",Assumptions!$B$2,Assumptions!$B$3)*Assumptions!$B$4</f>
        <v/>
      </c>
      <c r="M12" s="4">
        <f>$E12*IF($I12="AUD",Assumptions!$B$2,Assumptions!$B$3)*Assumptions!$B$4</f>
        <v/>
      </c>
      <c r="N12" s="4">
        <f>$F12*IF($I12="AUD",Assumptions!$B$2,Assumptions!$B$3)*Assumptions!$B$4</f>
        <v/>
      </c>
    </row>
    <row r="13">
      <c r="A13" t="inlineStr">
        <is>
          <t>RTIO-KOM 830E-5 HPT STD (177394B) HOPE DOWNS 2 EXP C/W</t>
        </is>
      </c>
      <c r="B13" t="inlineStr">
        <is>
          <t>Hamersley Iron Pty Limited</t>
        </is>
      </c>
      <c r="C13" t="n">
        <v>2</v>
      </c>
      <c r="D13" s="2" t="n">
        <v>3598.81</v>
      </c>
      <c r="E13" s="2" t="n">
        <v>34421.88</v>
      </c>
      <c r="F13" s="2" t="n">
        <v>573697.9399999999</v>
      </c>
      <c r="G13" s="2" t="n">
        <v>56850</v>
      </c>
      <c r="H13" t="inlineStr">
        <is>
          <t>Australia</t>
        </is>
      </c>
      <c r="I13" t="inlineStr">
        <is>
          <t>AUD</t>
        </is>
      </c>
      <c r="J13" t="inlineStr">
        <is>
          <t>Komatsu</t>
        </is>
      </c>
      <c r="K13" t="inlineStr">
        <is>
          <t>830E</t>
        </is>
      </c>
      <c r="L13" s="4">
        <f>$D13*IF($I13="AUD",Assumptions!$B$2,Assumptions!$B$3)*Assumptions!$B$4</f>
        <v/>
      </c>
      <c r="M13" s="4">
        <f>$E13*IF($I13="AUD",Assumptions!$B$2,Assumptions!$B$3)*Assumptions!$B$4</f>
        <v/>
      </c>
      <c r="N13" s="4">
        <f>$F13*IF($I13="AUD",Assumptions!$B$2,Assumptions!$B$3)*Assumptions!$B$4</f>
        <v/>
      </c>
    </row>
    <row r="14">
      <c r="A14" t="inlineStr">
        <is>
          <t>RTIO-KOM 830E-5 HPT STD (177394B) HOPE DOWNS 1 EXP C/W</t>
        </is>
      </c>
      <c r="B14" t="inlineStr">
        <is>
          <t>Hamersley Iron Pty Limited</t>
        </is>
      </c>
      <c r="C14" t="n">
        <v>3</v>
      </c>
      <c r="D14" s="2" t="n">
        <v>3598.81</v>
      </c>
      <c r="E14" s="2" t="n">
        <v>34421.88</v>
      </c>
      <c r="F14" s="2" t="n">
        <v>860546.91</v>
      </c>
      <c r="G14" s="2" t="n">
        <v>85275</v>
      </c>
      <c r="H14" t="inlineStr">
        <is>
          <t>Australia</t>
        </is>
      </c>
      <c r="I14" t="inlineStr">
        <is>
          <t>AUD</t>
        </is>
      </c>
      <c r="J14" t="inlineStr">
        <is>
          <t>Komatsu</t>
        </is>
      </c>
      <c r="K14" t="inlineStr">
        <is>
          <t>830E</t>
        </is>
      </c>
      <c r="L14" s="4">
        <f>$D14*IF($I14="AUD",Assumptions!$B$2,Assumptions!$B$3)*Assumptions!$B$4</f>
        <v/>
      </c>
      <c r="M14" s="4">
        <f>$E14*IF($I14="AUD",Assumptions!$B$2,Assumptions!$B$3)*Assumptions!$B$4</f>
        <v/>
      </c>
      <c r="N14" s="4">
        <f>$F14*IF($I14="AUD",Assumptions!$B$2,Assumptions!$B$3)*Assumptions!$B$4</f>
        <v/>
      </c>
    </row>
    <row r="15">
      <c r="A15" t="inlineStr">
        <is>
          <t>RTIO-KOM 830E-AC HPT HD (177394B) HOPE DOWNS 4 C/W AC</t>
        </is>
      </c>
      <c r="B15" t="inlineStr">
        <is>
          <t>Hamersley Iron Pty Limited</t>
        </is>
      </c>
      <c r="C15" t="n">
        <v>1</v>
      </c>
      <c r="D15" s="2" t="n">
        <v>3598.81</v>
      </c>
      <c r="E15" s="2" t="n">
        <v>34421.88</v>
      </c>
      <c r="F15" s="2" t="n">
        <v>286848.97</v>
      </c>
      <c r="G15" s="2" t="n">
        <v>28425</v>
      </c>
      <c r="H15" t="inlineStr">
        <is>
          <t>Australia</t>
        </is>
      </c>
      <c r="I15" t="inlineStr">
        <is>
          <t>AUD</t>
        </is>
      </c>
      <c r="J15" t="inlineStr">
        <is>
          <t>Komatsu</t>
        </is>
      </c>
      <c r="K15" t="inlineStr">
        <is>
          <t>830E</t>
        </is>
      </c>
      <c r="L15" s="4">
        <f>$D15*IF($I15="AUD",Assumptions!$B$2,Assumptions!$B$3)*Assumptions!$B$4</f>
        <v/>
      </c>
      <c r="M15" s="4">
        <f>$E15*IF($I15="AUD",Assumptions!$B$2,Assumptions!$B$3)*Assumptions!$B$4</f>
        <v/>
      </c>
      <c r="N15" s="4">
        <f>$F15*IF($I15="AUD",Assumptions!$B$2,Assumptions!$B$3)*Assumptions!$B$4</f>
        <v/>
      </c>
    </row>
    <row r="16">
      <c r="A16" t="inlineStr">
        <is>
          <t>RTIO-KOM 830E-5 HPT STD (177394B) HOPE DOWNS 1 EXP C/W</t>
        </is>
      </c>
      <c r="B16" t="inlineStr">
        <is>
          <t>Hamersley Iron Pty Limited</t>
        </is>
      </c>
      <c r="C16" t="n">
        <v>1</v>
      </c>
      <c r="D16" s="2" t="n">
        <v>9896.290000000001</v>
      </c>
      <c r="E16" s="2" t="n">
        <v>258164.07</v>
      </c>
      <c r="F16" s="2" t="n">
        <v>286848.97</v>
      </c>
      <c r="G16" s="2" t="n">
        <v>28425</v>
      </c>
      <c r="H16" t="inlineStr">
        <is>
          <t>Australia</t>
        </is>
      </c>
      <c r="I16" t="inlineStr">
        <is>
          <t>AUD</t>
        </is>
      </c>
      <c r="J16" t="inlineStr">
        <is>
          <t>Komatsu</t>
        </is>
      </c>
      <c r="K16" t="inlineStr">
        <is>
          <t>830E</t>
        </is>
      </c>
      <c r="L16" s="4">
        <f>$D16*IF($I16="AUD",Assumptions!$B$2,Assumptions!$B$3)*Assumptions!$B$4</f>
        <v/>
      </c>
      <c r="M16" s="4">
        <f>$E16*IF($I16="AUD",Assumptions!$B$2,Assumptions!$B$3)*Assumptions!$B$4</f>
        <v/>
      </c>
      <c r="N16" s="4">
        <f>$F16*IF($I16="AUD",Assumptions!$B$2,Assumptions!$B$3)*Assumptions!$B$4</f>
        <v/>
      </c>
    </row>
    <row r="17">
      <c r="A17" t="inlineStr">
        <is>
          <t>RTIO-KOM 830E-5 HPT STD (177394B) HOPE DOWNS 2 EXP C/W</t>
        </is>
      </c>
      <c r="B17" t="inlineStr">
        <is>
          <t>Hamersley Iron Pty Limited</t>
        </is>
      </c>
      <c r="C17" t="n">
        <v>5</v>
      </c>
      <c r="D17" s="2" t="n">
        <v>9896.290000000001</v>
      </c>
      <c r="E17" s="2" t="n">
        <v>258164.07</v>
      </c>
      <c r="F17" s="2" t="n">
        <v>1434244.85</v>
      </c>
      <c r="G17" s="2" t="n">
        <v>142125</v>
      </c>
      <c r="H17" t="inlineStr">
        <is>
          <t>Australia</t>
        </is>
      </c>
      <c r="I17" t="inlineStr">
        <is>
          <t>AUD</t>
        </is>
      </c>
      <c r="J17" t="inlineStr">
        <is>
          <t>Komatsu</t>
        </is>
      </c>
      <c r="K17" t="inlineStr">
        <is>
          <t>830E</t>
        </is>
      </c>
      <c r="L17" s="4">
        <f>$D17*IF($I17="AUD",Assumptions!$B$2,Assumptions!$B$3)*Assumptions!$B$4</f>
        <v/>
      </c>
      <c r="M17" s="4">
        <f>$E17*IF($I17="AUD",Assumptions!$B$2,Assumptions!$B$3)*Assumptions!$B$4</f>
        <v/>
      </c>
      <c r="N17" s="4">
        <f>$F17*IF($I17="AUD",Assumptions!$B$2,Assumptions!$B$3)*Assumptions!$B$4</f>
        <v/>
      </c>
    </row>
    <row r="18">
      <c r="A18" t="inlineStr">
        <is>
          <t>RTIO-KOM 830E-5 HPT STD (177394B) HOPE DOWNS 2 EXP C/W</t>
        </is>
      </c>
      <c r="B18" t="inlineStr">
        <is>
          <t>Hamersley Iron Pty Limited</t>
        </is>
      </c>
      <c r="C18" t="n">
        <v>2</v>
      </c>
      <c r="D18" s="2" t="n">
        <v>3598.81</v>
      </c>
      <c r="E18" s="2" t="n">
        <v>34421.88</v>
      </c>
      <c r="F18" s="2" t="n">
        <v>573697.9399999999</v>
      </c>
      <c r="G18" s="2" t="n">
        <v>56850</v>
      </c>
      <c r="H18" t="inlineStr">
        <is>
          <t>Australia</t>
        </is>
      </c>
      <c r="I18" t="inlineStr">
        <is>
          <t>AUD</t>
        </is>
      </c>
      <c r="J18" t="inlineStr">
        <is>
          <t>Komatsu</t>
        </is>
      </c>
      <c r="K18" t="inlineStr">
        <is>
          <t>830E</t>
        </is>
      </c>
      <c r="L18" s="4">
        <f>$D18*IF($I18="AUD",Assumptions!$B$2,Assumptions!$B$3)*Assumptions!$B$4</f>
        <v/>
      </c>
      <c r="M18" s="4">
        <f>$E18*IF($I18="AUD",Assumptions!$B$2,Assumptions!$B$3)*Assumptions!$B$4</f>
        <v/>
      </c>
      <c r="N18" s="4">
        <f>$F18*IF($I18="AUD",Assumptions!$B$2,Assumptions!$B$3)*Assumptions!$B$4</f>
        <v/>
      </c>
    </row>
    <row r="19">
      <c r="A19" t="inlineStr">
        <is>
          <t>RTIO-KOM 830E-5 HPT STD (177394B) HOPE DOWNS 1 EXP C/W</t>
        </is>
      </c>
      <c r="B19" t="inlineStr">
        <is>
          <t>Hamersley Iron Pty Limited</t>
        </is>
      </c>
      <c r="C19" t="n">
        <v>4</v>
      </c>
      <c r="D19" s="2" t="n">
        <v>3598.81</v>
      </c>
      <c r="E19" s="2" t="n">
        <v>34421.88</v>
      </c>
      <c r="F19" s="2" t="n">
        <v>1147395.88</v>
      </c>
      <c r="G19" s="2" t="n">
        <v>113700</v>
      </c>
      <c r="H19" t="inlineStr">
        <is>
          <t>Australia</t>
        </is>
      </c>
      <c r="I19" t="inlineStr">
        <is>
          <t>AUD</t>
        </is>
      </c>
      <c r="J19" t="inlineStr">
        <is>
          <t>Komatsu</t>
        </is>
      </c>
      <c r="K19" t="inlineStr">
        <is>
          <t>830E</t>
        </is>
      </c>
      <c r="L19" s="4">
        <f>$D19*IF($I19="AUD",Assumptions!$B$2,Assumptions!$B$3)*Assumptions!$B$4</f>
        <v/>
      </c>
      <c r="M19" s="4">
        <f>$E19*IF($I19="AUD",Assumptions!$B$2,Assumptions!$B$3)*Assumptions!$B$4</f>
        <v/>
      </c>
      <c r="N19" s="4">
        <f>$F19*IF($I19="AUD",Assumptions!$B$2,Assumptions!$B$3)*Assumptions!$B$4</f>
        <v/>
      </c>
    </row>
    <row r="20">
      <c r="A20" t="inlineStr">
        <is>
          <t>RIO-TINTO - KOMATSU 830E-5 HPT STD (177394B) - BROCKMA</t>
        </is>
      </c>
      <c r="B20" t="inlineStr">
        <is>
          <t>Hamersley Iron Pty Limited</t>
        </is>
      </c>
      <c r="C20" t="n">
        <v>6</v>
      </c>
      <c r="D20" s="2" t="n">
        <v>9896.290000000001</v>
      </c>
      <c r="E20" s="2" t="n">
        <v>258164.07</v>
      </c>
      <c r="F20" s="2" t="n">
        <v>1721093.82</v>
      </c>
      <c r="G20" s="2" t="n">
        <v>170550</v>
      </c>
      <c r="H20" t="inlineStr">
        <is>
          <t>Australia</t>
        </is>
      </c>
      <c r="I20" t="inlineStr">
        <is>
          <t>AUD</t>
        </is>
      </c>
      <c r="J20" t="inlineStr">
        <is>
          <t>Komatsu</t>
        </is>
      </c>
      <c r="K20" t="inlineStr">
        <is>
          <t>830E</t>
        </is>
      </c>
      <c r="L20" s="4">
        <f>$D20*IF($I20="AUD",Assumptions!$B$2,Assumptions!$B$3)*Assumptions!$B$4</f>
        <v/>
      </c>
      <c r="M20" s="4">
        <f>$E20*IF($I20="AUD",Assumptions!$B$2,Assumptions!$B$3)*Assumptions!$B$4</f>
        <v/>
      </c>
      <c r="N20" s="4">
        <f>$F20*IF($I20="AUD",Assumptions!$B$2,Assumptions!$B$3)*Assumptions!$B$4</f>
        <v/>
      </c>
    </row>
    <row r="21">
      <c r="A21" t="inlineStr">
        <is>
          <t>RTIO-KOM 830E-5 HPT STD (177394B) HOPE DOWNS 2 EXP C/W</t>
        </is>
      </c>
      <c r="B21" t="inlineStr">
        <is>
          <t>Hamersley Iron Pty Limited</t>
        </is>
      </c>
      <c r="C21" t="n">
        <v>2</v>
      </c>
      <c r="D21" s="2" t="n">
        <v>3598.81</v>
      </c>
      <c r="E21" s="2" t="n">
        <v>34421.88</v>
      </c>
      <c r="F21" s="2" t="n">
        <v>573697.9399999999</v>
      </c>
      <c r="G21" s="2" t="n">
        <v>56850</v>
      </c>
      <c r="H21" t="inlineStr">
        <is>
          <t>Australia</t>
        </is>
      </c>
      <c r="I21" t="inlineStr">
        <is>
          <t>AUD</t>
        </is>
      </c>
      <c r="J21" t="inlineStr">
        <is>
          <t>Komatsu</t>
        </is>
      </c>
      <c r="K21" t="inlineStr">
        <is>
          <t>830E</t>
        </is>
      </c>
      <c r="L21" s="4">
        <f>$D21*IF($I21="AUD",Assumptions!$B$2,Assumptions!$B$3)*Assumptions!$B$4</f>
        <v/>
      </c>
      <c r="M21" s="4">
        <f>$E21*IF($I21="AUD",Assumptions!$B$2,Assumptions!$B$3)*Assumptions!$B$4</f>
        <v/>
      </c>
      <c r="N21" s="4">
        <f>$F21*IF($I21="AUD",Assumptions!$B$2,Assumptions!$B$3)*Assumptions!$B$4</f>
        <v/>
      </c>
    </row>
    <row r="22">
      <c r="A22" t="inlineStr">
        <is>
          <t>RIO-TINTO - KOMATSU 830E-5 HPT STD (177394B) - BROCKMA</t>
        </is>
      </c>
      <c r="B22" t="inlineStr">
        <is>
          <t>Hamersley Iron Pty Limited</t>
        </is>
      </c>
      <c r="C22" t="n">
        <v>4</v>
      </c>
      <c r="D22" s="2" t="n">
        <v>3598.81</v>
      </c>
      <c r="E22" s="2" t="n">
        <v>34421.88</v>
      </c>
      <c r="F22" s="2" t="n">
        <v>1147395.88</v>
      </c>
      <c r="G22" s="2" t="n">
        <v>113700</v>
      </c>
      <c r="H22" t="inlineStr">
        <is>
          <t>Australia</t>
        </is>
      </c>
      <c r="I22" t="inlineStr">
        <is>
          <t>AUD</t>
        </is>
      </c>
      <c r="J22" t="inlineStr">
        <is>
          <t>Komatsu</t>
        </is>
      </c>
      <c r="K22" t="inlineStr">
        <is>
          <t>830E</t>
        </is>
      </c>
      <c r="L22" s="4">
        <f>$D22*IF($I22="AUD",Assumptions!$B$2,Assumptions!$B$3)*Assumptions!$B$4</f>
        <v/>
      </c>
      <c r="M22" s="4">
        <f>$E22*IF($I22="AUD",Assumptions!$B$2,Assumptions!$B$3)*Assumptions!$B$4</f>
        <v/>
      </c>
      <c r="N22" s="4">
        <f>$F22*IF($I22="AUD",Assumptions!$B$2,Assumptions!$B$3)*Assumptions!$B$4</f>
        <v/>
      </c>
    </row>
    <row r="23">
      <c r="A23" t="inlineStr">
        <is>
          <t>KOMATSU 930E-5 ULTB C/W ACCESSORIES PO REFERENCE:450</t>
        </is>
      </c>
      <c r="B23" t="inlineStr">
        <is>
          <t>Austin Engineering Limited</t>
        </is>
      </c>
      <c r="C23" t="n">
        <v>9</v>
      </c>
      <c r="D23" s="2" t="n">
        <v>9182.559999999999</v>
      </c>
      <c r="E23" s="2" t="n">
        <v>87829.38</v>
      </c>
      <c r="F23" s="2" t="n">
        <v>4391469</v>
      </c>
      <c r="G23" s="2" t="n">
        <v>366921</v>
      </c>
      <c r="H23" t="inlineStr">
        <is>
          <t>Australia</t>
        </is>
      </c>
      <c r="I23" t="inlineStr">
        <is>
          <t>AUD</t>
        </is>
      </c>
      <c r="J23" t="inlineStr">
        <is>
          <t>Komatsu</t>
        </is>
      </c>
      <c r="K23" t="inlineStr">
        <is>
          <t>930E</t>
        </is>
      </c>
      <c r="L23" s="4">
        <f>$D23*IF($I23="AUD",Assumptions!$B$2,Assumptions!$B$3)*Assumptions!$B$4</f>
        <v/>
      </c>
      <c r="M23" s="4">
        <f>$E23*IF($I23="AUD",Assumptions!$B$2,Assumptions!$B$3)*Assumptions!$B$4</f>
        <v/>
      </c>
      <c r="N23" s="4">
        <f>$F23*IF($I23="AUD",Assumptions!$B$2,Assumptions!$B$3)*Assumptions!$B$4</f>
        <v/>
      </c>
    </row>
    <row r="24">
      <c r="A24" t="inlineStr">
        <is>
          <t>PARBURDOO-830E-AC HPT HD (177392B) C/W ACCESSORIES P</t>
        </is>
      </c>
      <c r="B24" t="inlineStr">
        <is>
          <t>Austin Engineering Limited</t>
        </is>
      </c>
      <c r="C24" t="n">
        <v>6</v>
      </c>
      <c r="D24" s="2" t="n">
        <v>4350.58</v>
      </c>
      <c r="E24" s="2" t="n">
        <v>41612.42</v>
      </c>
      <c r="F24" s="2" t="n">
        <v>1758737.82</v>
      </c>
      <c r="G24" s="2" t="n">
        <v>182508</v>
      </c>
      <c r="H24" t="inlineStr">
        <is>
          <t>Australia</t>
        </is>
      </c>
      <c r="I24" t="inlineStr">
        <is>
          <t>AUD</t>
        </is>
      </c>
      <c r="J24" t="inlineStr">
        <is>
          <t>Komatsu</t>
        </is>
      </c>
      <c r="K24" t="inlineStr">
        <is>
          <t>830E</t>
        </is>
      </c>
      <c r="L24" s="4">
        <f>$D24*IF($I24="AUD",Assumptions!$B$2,Assumptions!$B$3)*Assumptions!$B$4</f>
        <v/>
      </c>
      <c r="M24" s="4">
        <f>$E24*IF($I24="AUD",Assumptions!$B$2,Assumptions!$B$3)*Assumptions!$B$4</f>
        <v/>
      </c>
      <c r="N24" s="4">
        <f>$F24*IF($I24="AUD",Assumptions!$B$2,Assumptions!$B$3)*Assumptions!$B$4</f>
        <v/>
      </c>
    </row>
    <row r="25">
      <c r="A25" t="inlineStr">
        <is>
          <t>YANDICOOGINA-930E-5 HPT STD (177645A) C/W ACCESSORIES</t>
        </is>
      </c>
      <c r="B25" t="inlineStr">
        <is>
          <t>Austin Engineering Limited</t>
        </is>
      </c>
      <c r="C25" t="n">
        <v>1</v>
      </c>
      <c r="D25" s="2" t="n">
        <v>4350.58</v>
      </c>
      <c r="E25" s="2" t="n">
        <v>41612.42</v>
      </c>
      <c r="F25" s="2" t="n">
        <v>321883.17</v>
      </c>
      <c r="G25" s="2" t="n">
        <v>33053</v>
      </c>
      <c r="H25" t="inlineStr">
        <is>
          <t>Australia</t>
        </is>
      </c>
      <c r="I25" t="inlineStr">
        <is>
          <t>AUD</t>
        </is>
      </c>
      <c r="J25" t="inlineStr">
        <is>
          <t>Komatsu</t>
        </is>
      </c>
      <c r="K25" t="inlineStr">
        <is>
          <t>930E</t>
        </is>
      </c>
      <c r="L25" s="4">
        <f>$D25*IF($I25="AUD",Assumptions!$B$2,Assumptions!$B$3)*Assumptions!$B$4</f>
        <v/>
      </c>
      <c r="M25" s="4">
        <f>$E25*IF($I25="AUD",Assumptions!$B$2,Assumptions!$B$3)*Assumptions!$B$4</f>
        <v/>
      </c>
      <c r="N25" s="4">
        <f>$F25*IF($I25="AUD",Assumptions!$B$2,Assumptions!$B$3)*Assumptions!$B$4</f>
        <v/>
      </c>
    </row>
    <row r="26">
      <c r="A26" t="inlineStr">
        <is>
          <t>KOMATSU 830E-1AC HPT C/W ACCESSORIES PO REFERENCE : 4</t>
        </is>
      </c>
      <c r="B26" t="inlineStr">
        <is>
          <t>Anglo American</t>
        </is>
      </c>
      <c r="C26" t="n">
        <v>15</v>
      </c>
      <c r="D26" s="2" t="n">
        <v>12021.83</v>
      </c>
      <c r="E26" s="2" t="n">
        <v>114986.4</v>
      </c>
      <c r="F26" s="2" t="n">
        <v>5749320</v>
      </c>
      <c r="G26" s="2" t="n">
        <v>498810</v>
      </c>
      <c r="H26" t="inlineStr">
        <is>
          <t>Australia</t>
        </is>
      </c>
      <c r="I26" t="inlineStr">
        <is>
          <t>AUD</t>
        </is>
      </c>
      <c r="J26" t="inlineStr">
        <is>
          <t>Komatsu</t>
        </is>
      </c>
      <c r="K26" t="inlineStr">
        <is>
          <t>830E</t>
        </is>
      </c>
      <c r="L26" s="4">
        <f>$D26*IF($I26="AUD",Assumptions!$B$2,Assumptions!$B$3)*Assumptions!$B$4</f>
        <v/>
      </c>
      <c r="M26" s="4">
        <f>$E26*IF($I26="AUD",Assumptions!$B$2,Assumptions!$B$3)*Assumptions!$B$4</f>
        <v/>
      </c>
      <c r="N26" s="4">
        <f>$F26*IF($I26="AUD",Assumptions!$B$2,Assumptions!$B$3)*Assumptions!$B$4</f>
        <v/>
      </c>
    </row>
    <row r="27">
      <c r="A27" t="inlineStr">
        <is>
          <t>930E HPT MAX STD (176602), WEST ANGELAS C/W ACCESSORI</t>
        </is>
      </c>
      <c r="B27" t="inlineStr">
        <is>
          <t>Austin Engineering Limited</t>
        </is>
      </c>
      <c r="C27" t="n">
        <v>3</v>
      </c>
      <c r="D27" s="2" t="n">
        <v>3687.49</v>
      </c>
      <c r="E27" s="2" t="n">
        <v>35270.12</v>
      </c>
      <c r="F27" s="2" t="n">
        <v>881753.04</v>
      </c>
      <c r="G27" s="2" t="n">
        <v>104166</v>
      </c>
      <c r="H27" t="inlineStr">
        <is>
          <t>Australia</t>
        </is>
      </c>
      <c r="I27" t="inlineStr">
        <is>
          <t>AUD</t>
        </is>
      </c>
      <c r="J27" t="inlineStr">
        <is>
          <t>Komatsu</t>
        </is>
      </c>
      <c r="K27" t="inlineStr">
        <is>
          <t>930E</t>
        </is>
      </c>
      <c r="L27" s="4">
        <f>$D27*IF($I27="AUD",Assumptions!$B$2,Assumptions!$B$3)*Assumptions!$B$4</f>
        <v/>
      </c>
      <c r="M27" s="4">
        <f>$E27*IF($I27="AUD",Assumptions!$B$2,Assumptions!$B$3)*Assumptions!$B$4</f>
        <v/>
      </c>
      <c r="N27" s="4">
        <f>$F27*IF($I27="AUD",Assumptions!$B$2,Assumptions!$B$3)*Assumptions!$B$4</f>
        <v/>
      </c>
    </row>
    <row r="28">
      <c r="A28" t="inlineStr">
        <is>
          <t>KOMATSU 930E-4HPT STDI (177390B) WEST ANGELAS C/W AC</t>
        </is>
      </c>
      <c r="B28" t="inlineStr">
        <is>
          <t>Hamersley Iron Pty Limited</t>
        </is>
      </c>
      <c r="C28" t="n">
        <v>1</v>
      </c>
      <c r="D28" s="2" t="n">
        <v>3609.09</v>
      </c>
      <c r="E28" s="2" t="n">
        <v>34520.28</v>
      </c>
      <c r="F28" s="2" t="n">
        <v>289308.97</v>
      </c>
      <c r="G28" s="2" t="n">
        <v>34295</v>
      </c>
      <c r="H28" t="inlineStr">
        <is>
          <t>Australia</t>
        </is>
      </c>
      <c r="I28" t="inlineStr">
        <is>
          <t>AUD</t>
        </is>
      </c>
      <c r="J28" t="inlineStr">
        <is>
          <t>Komatsu</t>
        </is>
      </c>
      <c r="K28" t="inlineStr">
        <is>
          <t>930E</t>
        </is>
      </c>
      <c r="L28" s="4">
        <f>$D28*IF($I28="AUD",Assumptions!$B$2,Assumptions!$B$3)*Assumptions!$B$4</f>
        <v/>
      </c>
      <c r="M28" s="4">
        <f>$E28*IF($I28="AUD",Assumptions!$B$2,Assumptions!$B$3)*Assumptions!$B$4</f>
        <v/>
      </c>
      <c r="N28" s="4">
        <f>$F28*IF($I28="AUD",Assumptions!$B$2,Assumptions!$B$3)*Assumptions!$B$4</f>
        <v/>
      </c>
    </row>
    <row r="29">
      <c r="A29" t="inlineStr">
        <is>
          <t>KOMATSU 830E-5 HPT TRUCK BODY C/W ACCESSORIES, PO RE</t>
        </is>
      </c>
      <c r="B29" t="inlineStr">
        <is>
          <t>Anglo Coal Capcoal Management</t>
        </is>
      </c>
      <c r="C29" t="n">
        <v>6</v>
      </c>
      <c r="D29" s="2" t="n">
        <v>5511.01</v>
      </c>
      <c r="E29" s="2" t="n">
        <v>52711.74</v>
      </c>
      <c r="F29" s="2" t="n">
        <v>2635587</v>
      </c>
      <c r="G29" s="2" t="n">
        <v>212100</v>
      </c>
      <c r="H29" t="inlineStr">
        <is>
          <t>Australia</t>
        </is>
      </c>
      <c r="I29" t="inlineStr">
        <is>
          <t>AUD</t>
        </is>
      </c>
      <c r="J29" t="inlineStr">
        <is>
          <t>Komatsu</t>
        </is>
      </c>
      <c r="K29" t="inlineStr">
        <is>
          <t>830E</t>
        </is>
      </c>
      <c r="L29" s="4">
        <f>$D29*IF($I29="AUD",Assumptions!$B$2,Assumptions!$B$3)*Assumptions!$B$4</f>
        <v/>
      </c>
      <c r="M29" s="4">
        <f>$E29*IF($I29="AUD",Assumptions!$B$2,Assumptions!$B$3)*Assumptions!$B$4</f>
        <v/>
      </c>
      <c r="N29" s="4">
        <f>$F29*IF($I29="AUD",Assumptions!$B$2,Assumptions!$B$3)*Assumptions!$B$4</f>
        <v/>
      </c>
    </row>
    <row r="30">
      <c r="A30" t="inlineStr">
        <is>
          <t>NAMMULDI-930E-4 HPT STD (177390B) C/W ACCESSORIES PO</t>
        </is>
      </c>
      <c r="B30" t="inlineStr">
        <is>
          <t>Hamersley Iron Pty Limited</t>
        </is>
      </c>
      <c r="C30" t="n">
        <v>6</v>
      </c>
      <c r="D30" s="2" t="n">
        <v>3743.19</v>
      </c>
      <c r="E30" s="2" t="n">
        <v>90090.81</v>
      </c>
      <c r="F30" s="2" t="n">
        <v>1735853.82</v>
      </c>
      <c r="G30" s="2" t="n">
        <v>205770</v>
      </c>
      <c r="H30" t="inlineStr">
        <is>
          <t>Australia</t>
        </is>
      </c>
      <c r="I30" t="inlineStr">
        <is>
          <t>AUD</t>
        </is>
      </c>
      <c r="J30" t="inlineStr">
        <is>
          <t>Komatsu</t>
        </is>
      </c>
      <c r="K30" t="inlineStr">
        <is>
          <t>930E</t>
        </is>
      </c>
      <c r="L30" s="4">
        <f>$D30*IF($I30="AUD",Assumptions!$B$2,Assumptions!$B$3)*Assumptions!$B$4</f>
        <v/>
      </c>
      <c r="M30" s="4">
        <f>$E30*IF($I30="AUD",Assumptions!$B$2,Assumptions!$B$3)*Assumptions!$B$4</f>
        <v/>
      </c>
      <c r="N30" s="4">
        <f>$F30*IF($I30="AUD",Assumptions!$B$2,Assumptions!$B$3)*Assumptions!$B$4</f>
        <v/>
      </c>
    </row>
    <row r="31">
      <c r="A31" t="inlineStr">
        <is>
          <t>RTIO - CAT 777G ULTIMA TRUCK BODY GOVE C/W ACCESSORIE</t>
        </is>
      </c>
      <c r="B31" t="inlineStr">
        <is>
          <t>Austin Engineering Limited</t>
        </is>
      </c>
      <c r="C31" t="n">
        <v>3</v>
      </c>
      <c r="D31" s="2" t="n">
        <v>0</v>
      </c>
      <c r="E31" s="2" t="n">
        <v>0</v>
      </c>
      <c r="F31" s="2" t="n">
        <v>1046001</v>
      </c>
      <c r="G31" s="2" t="n">
        <v>60215.82</v>
      </c>
      <c r="H31" t="inlineStr">
        <is>
          <t>Australia</t>
        </is>
      </c>
      <c r="I31" t="inlineStr">
        <is>
          <t>AUD</t>
        </is>
      </c>
      <c r="J31" t="inlineStr">
        <is>
          <t>Caterpillar</t>
        </is>
      </c>
      <c r="K31" t="inlineStr">
        <is>
          <t>777</t>
        </is>
      </c>
      <c r="L31" s="4">
        <f>$D31*IF($I31="AUD",Assumptions!$B$2,Assumptions!$B$3)*Assumptions!$B$4</f>
        <v/>
      </c>
      <c r="M31" s="4">
        <f>$E31*IF($I31="AUD",Assumptions!$B$2,Assumptions!$B$3)*Assumptions!$B$4</f>
        <v/>
      </c>
      <c r="N31" s="4">
        <f>$F31*IF($I31="AUD",Assumptions!$B$2,Assumptions!$B$3)*Assumptions!$B$4</f>
        <v/>
      </c>
    </row>
    <row r="32">
      <c r="A32" t="inlineStr">
        <is>
          <t>KOMATSU 830E-5 HPT TRUCK BODY C/W ACCESSORIES , PO RE</t>
        </is>
      </c>
      <c r="B32" t="inlineStr">
        <is>
          <t>Anglo Coal Capcoal Management</t>
        </is>
      </c>
      <c r="C32" t="n">
        <v>6</v>
      </c>
      <c r="D32" s="2" t="n">
        <v>5683.37</v>
      </c>
      <c r="E32" s="2" t="n">
        <v>136786.97</v>
      </c>
      <c r="F32" s="2" t="n">
        <v>2635587</v>
      </c>
      <c r="G32" s="2" t="n">
        <v>212100</v>
      </c>
      <c r="H32" t="inlineStr">
        <is>
          <t>Australia</t>
        </is>
      </c>
      <c r="I32" t="inlineStr">
        <is>
          <t>AUD</t>
        </is>
      </c>
      <c r="J32" t="inlineStr">
        <is>
          <t>Komatsu</t>
        </is>
      </c>
      <c r="K32" t="inlineStr">
        <is>
          <t>830E</t>
        </is>
      </c>
      <c r="L32" s="4">
        <f>$D32*IF($I32="AUD",Assumptions!$B$2,Assumptions!$B$3)*Assumptions!$B$4</f>
        <v/>
      </c>
      <c r="M32" s="4">
        <f>$E32*IF($I32="AUD",Assumptions!$B$2,Assumptions!$B$3)*Assumptions!$B$4</f>
        <v/>
      </c>
      <c r="N32" s="4">
        <f>$F32*IF($I32="AUD",Assumptions!$B$2,Assumptions!$B$3)*Assumptions!$B$4</f>
        <v/>
      </c>
    </row>
    <row r="33">
      <c r="A33" t="inlineStr">
        <is>
          <t>TOM PRICE-830E-AC HPT (177392B) C/W ACCESSORIES PO REF</t>
        </is>
      </c>
      <c r="B33" t="inlineStr">
        <is>
          <t>Hamersley Iron Pty Limited</t>
        </is>
      </c>
      <c r="C33" t="n">
        <v>1</v>
      </c>
      <c r="D33" s="2" t="n">
        <v>3046.51</v>
      </c>
      <c r="E33" s="2" t="n">
        <v>29139.24</v>
      </c>
      <c r="F33" s="2" t="n">
        <v>293122.97</v>
      </c>
      <c r="G33" s="2" t="n">
        <v>30418</v>
      </c>
      <c r="H33" t="inlineStr">
        <is>
          <t>Australia</t>
        </is>
      </c>
      <c r="I33" t="inlineStr">
        <is>
          <t>AUD</t>
        </is>
      </c>
      <c r="J33" t="inlineStr">
        <is>
          <t>Komatsu</t>
        </is>
      </c>
      <c r="K33" t="inlineStr">
        <is>
          <t>830E</t>
        </is>
      </c>
      <c r="L33" s="4">
        <f>$D33*IF($I33="AUD",Assumptions!$B$2,Assumptions!$B$3)*Assumptions!$B$4</f>
        <v/>
      </c>
      <c r="M33" s="4">
        <f>$E33*IF($I33="AUD",Assumptions!$B$2,Assumptions!$B$3)*Assumptions!$B$4</f>
        <v/>
      </c>
      <c r="N33" s="4">
        <f>$F33*IF($I33="AUD",Assumptions!$B$2,Assumptions!$B$3)*Assumptions!$B$4</f>
        <v/>
      </c>
    </row>
    <row r="34">
      <c r="A34" t="inlineStr">
        <is>
          <t>HOPE DOWN 1-830E-5 HPT STD C/W ACCESSORIES PO REFERE</t>
        </is>
      </c>
      <c r="B34" t="inlineStr">
        <is>
          <t>Hamersley Iron Pty Limited</t>
        </is>
      </c>
      <c r="C34" t="n">
        <v>4</v>
      </c>
      <c r="D34" s="2" t="n">
        <v>3046.51</v>
      </c>
      <c r="E34" s="2" t="n">
        <v>29139.24</v>
      </c>
      <c r="F34" s="2" t="n">
        <v>1163838.96</v>
      </c>
      <c r="G34" s="2" t="n">
        <v>113700</v>
      </c>
      <c r="H34" t="inlineStr">
        <is>
          <t>Australia</t>
        </is>
      </c>
      <c r="I34" t="inlineStr">
        <is>
          <t>AUD</t>
        </is>
      </c>
      <c r="J34" t="inlineStr">
        <is>
          <t>Komatsu</t>
        </is>
      </c>
      <c r="K34" t="inlineStr">
        <is>
          <t>830E</t>
        </is>
      </c>
      <c r="L34" s="4">
        <f>$D34*IF($I34="AUD",Assumptions!$B$2,Assumptions!$B$3)*Assumptions!$B$4</f>
        <v/>
      </c>
      <c r="M34" s="4">
        <f>$E34*IF($I34="AUD",Assumptions!$B$2,Assumptions!$B$3)*Assumptions!$B$4</f>
        <v/>
      </c>
      <c r="N34" s="4">
        <f>$F34*IF($I34="AUD",Assumptions!$B$2,Assumptions!$B$3)*Assumptions!$B$4</f>
        <v/>
      </c>
    </row>
    <row r="35">
      <c r="A35" t="inlineStr">
        <is>
          <t>BROCKMAN 4-830E-5 HPT STD C/W ACCESSORIES, PO REFERE</t>
        </is>
      </c>
      <c r="B35" t="inlineStr">
        <is>
          <t>Hamersley Iron Pty Limited</t>
        </is>
      </c>
      <c r="C35" t="n">
        <v>6</v>
      </c>
      <c r="D35" s="2" t="n">
        <v>3598.81</v>
      </c>
      <c r="E35" s="2" t="n">
        <v>34421.88</v>
      </c>
      <c r="F35" s="2" t="n">
        <v>1721093.82</v>
      </c>
      <c r="G35" s="2" t="n">
        <v>170550</v>
      </c>
      <c r="H35" t="inlineStr">
        <is>
          <t>Australia</t>
        </is>
      </c>
      <c r="I35" t="inlineStr">
        <is>
          <t>AUD</t>
        </is>
      </c>
      <c r="J35" t="inlineStr">
        <is>
          <t>Komatsu</t>
        </is>
      </c>
      <c r="K35" t="inlineStr">
        <is>
          <t>830E</t>
        </is>
      </c>
      <c r="L35" s="4">
        <f>$D35*IF($I35="AUD",Assumptions!$B$2,Assumptions!$B$3)*Assumptions!$B$4</f>
        <v/>
      </c>
      <c r="M35" s="4">
        <f>$E35*IF($I35="AUD",Assumptions!$B$2,Assumptions!$B$3)*Assumptions!$B$4</f>
        <v/>
      </c>
      <c r="N35" s="4">
        <f>$F35*IF($I35="AUD",Assumptions!$B$2,Assumptions!$B$3)*Assumptions!$B$4</f>
        <v/>
      </c>
    </row>
    <row r="36">
      <c r="A36" t="inlineStr">
        <is>
          <t>HOPE DOWNS 4-830E-AC HPT STD C/W ACCESSORIESPO REFE</t>
        </is>
      </c>
      <c r="B36" t="inlineStr">
        <is>
          <t>Hamersley Iron Pty Limited</t>
        </is>
      </c>
      <c r="C36" t="n">
        <v>4</v>
      </c>
      <c r="D36" s="2" t="n">
        <v>3625.05</v>
      </c>
      <c r="E36" s="2" t="n">
        <v>34672.84</v>
      </c>
      <c r="F36" s="2" t="n">
        <v>1147395.88</v>
      </c>
      <c r="G36" s="2" t="n">
        <v>111016</v>
      </c>
      <c r="H36" t="inlineStr">
        <is>
          <t>Australia</t>
        </is>
      </c>
      <c r="I36" t="inlineStr">
        <is>
          <t>AUD</t>
        </is>
      </c>
      <c r="J36" t="inlineStr">
        <is>
          <t>Komatsu</t>
        </is>
      </c>
      <c r="K36" t="inlineStr">
        <is>
          <t>830E</t>
        </is>
      </c>
      <c r="L36" s="4">
        <f>$D36*IF($I36="AUD",Assumptions!$B$2,Assumptions!$B$3)*Assumptions!$B$4</f>
        <v/>
      </c>
      <c r="M36" s="4">
        <f>$E36*IF($I36="AUD",Assumptions!$B$2,Assumptions!$B$3)*Assumptions!$B$4</f>
        <v/>
      </c>
      <c r="N36" s="4">
        <f>$F36*IF($I36="AUD",Assumptions!$B$2,Assumptions!$B$3)*Assumptions!$B$4</f>
        <v/>
      </c>
    </row>
    <row r="37">
      <c r="A37" t="inlineStr">
        <is>
          <t>TOM PRICE-830E-AC HPT HD (177392B) C/W ACCESSORIESPO</t>
        </is>
      </c>
      <c r="B37" t="inlineStr">
        <is>
          <t>Hamersley Iron Pty Limited</t>
        </is>
      </c>
      <c r="C37" t="n">
        <v>2</v>
      </c>
      <c r="D37" s="2" t="n">
        <v>3625.05</v>
      </c>
      <c r="E37" s="2" t="n">
        <v>34672.84</v>
      </c>
      <c r="F37" s="2" t="n">
        <v>586245.9399999999</v>
      </c>
      <c r="G37" s="2" t="n">
        <v>60836</v>
      </c>
      <c r="H37" t="inlineStr">
        <is>
          <t>Australia</t>
        </is>
      </c>
      <c r="I37" t="inlineStr">
        <is>
          <t>AUD</t>
        </is>
      </c>
      <c r="J37" t="inlineStr">
        <is>
          <t>Komatsu</t>
        </is>
      </c>
      <c r="K37" t="inlineStr">
        <is>
          <t>830E</t>
        </is>
      </c>
      <c r="L37" s="4">
        <f>$D37*IF($I37="AUD",Assumptions!$B$2,Assumptions!$B$3)*Assumptions!$B$4</f>
        <v/>
      </c>
      <c r="M37" s="4">
        <f>$E37*IF($I37="AUD",Assumptions!$B$2,Assumptions!$B$3)*Assumptions!$B$4</f>
        <v/>
      </c>
      <c r="N37" s="4">
        <f>$F37*IF($I37="AUD",Assumptions!$B$2,Assumptions!$B$3)*Assumptions!$B$4</f>
        <v/>
      </c>
    </row>
    <row r="38">
      <c r="A38" t="inlineStr">
        <is>
          <t>HOPE DOWNS 4-830E-AC HPT STD C/W ACCESSORIESPO REFE</t>
        </is>
      </c>
      <c r="B38" t="inlineStr">
        <is>
          <t>Hamersley Iron Pty Limited</t>
        </is>
      </c>
      <c r="C38" t="n">
        <v>2</v>
      </c>
      <c r="D38" s="2" t="n">
        <v>3025.24</v>
      </c>
      <c r="E38" s="2" t="n">
        <v>28935.86</v>
      </c>
      <c r="F38" s="2" t="n">
        <v>573697.9399999999</v>
      </c>
      <c r="G38" s="2" t="n">
        <v>55508</v>
      </c>
      <c r="H38" t="inlineStr">
        <is>
          <t>Australia</t>
        </is>
      </c>
      <c r="I38" t="inlineStr">
        <is>
          <t>AUD</t>
        </is>
      </c>
      <c r="J38" t="inlineStr">
        <is>
          <t>Komatsu</t>
        </is>
      </c>
      <c r="K38" t="inlineStr">
        <is>
          <t>830E</t>
        </is>
      </c>
      <c r="L38" s="4">
        <f>$D38*IF($I38="AUD",Assumptions!$B$2,Assumptions!$B$3)*Assumptions!$B$4</f>
        <v/>
      </c>
      <c r="M38" s="4">
        <f>$E38*IF($I38="AUD",Assumptions!$B$2,Assumptions!$B$3)*Assumptions!$B$4</f>
        <v/>
      </c>
      <c r="N38" s="4">
        <f>$F38*IF($I38="AUD",Assumptions!$B$2,Assumptions!$B$3)*Assumptions!$B$4</f>
        <v/>
      </c>
    </row>
    <row r="39">
      <c r="A39" t="inlineStr">
        <is>
          <t>TOM PRICE-830E-AC HPT HD (177392B) C/W ACCESSORIESPO</t>
        </is>
      </c>
      <c r="B39" t="inlineStr">
        <is>
          <t>Hamersley Iron Pty Limited</t>
        </is>
      </c>
      <c r="C39" t="n">
        <v>2</v>
      </c>
      <c r="D39" s="2" t="n">
        <v>3025.24</v>
      </c>
      <c r="E39" s="2" t="n">
        <v>28935.86</v>
      </c>
      <c r="F39" s="2" t="n">
        <v>586245.9399999999</v>
      </c>
      <c r="G39" s="2" t="n">
        <v>60836</v>
      </c>
      <c r="H39" t="inlineStr">
        <is>
          <t>Australia</t>
        </is>
      </c>
      <c r="I39" t="inlineStr">
        <is>
          <t>AUD</t>
        </is>
      </c>
      <c r="J39" t="inlineStr">
        <is>
          <t>Komatsu</t>
        </is>
      </c>
      <c r="K39" t="inlineStr">
        <is>
          <t>830E</t>
        </is>
      </c>
      <c r="L39" s="4">
        <f>$D39*IF($I39="AUD",Assumptions!$B$2,Assumptions!$B$3)*Assumptions!$B$4</f>
        <v/>
      </c>
      <c r="M39" s="4">
        <f>$E39*IF($I39="AUD",Assumptions!$B$2,Assumptions!$B$3)*Assumptions!$B$4</f>
        <v/>
      </c>
      <c r="N39" s="4">
        <f>$F39*IF($I39="AUD",Assumptions!$B$2,Assumptions!$B$3)*Assumptions!$B$4</f>
        <v/>
      </c>
    </row>
    <row r="40">
      <c r="A40" t="inlineStr">
        <is>
          <t>BROCKMAN 4-830E-5 HPT STD C/W ACCESSORIESPO REFEREN</t>
        </is>
      </c>
      <c r="B40" t="inlineStr">
        <is>
          <t>Hamersley Iron Pty Limited</t>
        </is>
      </c>
      <c r="C40" t="n">
        <v>1</v>
      </c>
      <c r="D40" s="2" t="n">
        <v>3025.24</v>
      </c>
      <c r="E40" s="2" t="n">
        <v>28935.86</v>
      </c>
      <c r="F40" s="2" t="n">
        <v>286848.97</v>
      </c>
      <c r="G40" s="2" t="n">
        <v>28425</v>
      </c>
      <c r="H40" t="inlineStr">
        <is>
          <t>Australia</t>
        </is>
      </c>
      <c r="I40" t="inlineStr">
        <is>
          <t>AUD</t>
        </is>
      </c>
      <c r="J40" t="inlineStr">
        <is>
          <t>Komatsu</t>
        </is>
      </c>
      <c r="K40" t="inlineStr">
        <is>
          <t>830E</t>
        </is>
      </c>
      <c r="L40" s="4">
        <f>$D40*IF($I40="AUD",Assumptions!$B$2,Assumptions!$B$3)*Assumptions!$B$4</f>
        <v/>
      </c>
      <c r="M40" s="4">
        <f>$E40*IF($I40="AUD",Assumptions!$B$2,Assumptions!$B$3)*Assumptions!$B$4</f>
        <v/>
      </c>
      <c r="N40" s="4">
        <f>$F40*IF($I40="AUD",Assumptions!$B$2,Assumptions!$B$3)*Assumptions!$B$4</f>
        <v/>
      </c>
    </row>
    <row r="41">
      <c r="A41" t="inlineStr">
        <is>
          <t>BROCKMAN 4-830E-5 HPT STD C/W ACCESSORIES PO REFEREN</t>
        </is>
      </c>
      <c r="B41" t="inlineStr">
        <is>
          <t>Austin Engineering Limited</t>
        </is>
      </c>
      <c r="C41" t="n">
        <v>7</v>
      </c>
      <c r="D41" s="2" t="n">
        <v>4198.61</v>
      </c>
      <c r="E41" s="2" t="n">
        <v>40158.86</v>
      </c>
      <c r="F41" s="2" t="n">
        <v>2007942.79</v>
      </c>
      <c r="G41" s="2" t="n">
        <v>198975</v>
      </c>
      <c r="H41" t="inlineStr">
        <is>
          <t>Australia</t>
        </is>
      </c>
      <c r="I41" t="inlineStr">
        <is>
          <t>AUD</t>
        </is>
      </c>
      <c r="J41" t="inlineStr">
        <is>
          <t>Komatsu</t>
        </is>
      </c>
      <c r="K41" t="inlineStr">
        <is>
          <t>830E</t>
        </is>
      </c>
      <c r="L41" s="4">
        <f>$D41*IF($I41="AUD",Assumptions!$B$2,Assumptions!$B$3)*Assumptions!$B$4</f>
        <v/>
      </c>
      <c r="M41" s="4">
        <f>$E41*IF($I41="AUD",Assumptions!$B$2,Assumptions!$B$3)*Assumptions!$B$4</f>
        <v/>
      </c>
      <c r="N41" s="4">
        <f>$F41*IF($I41="AUD",Assumptions!$B$2,Assumptions!$B$3)*Assumptions!$B$4</f>
        <v/>
      </c>
    </row>
    <row r="42">
      <c r="A42" t="inlineStr">
        <is>
          <t>YANDICOOGINA-930E-5 HPT STD (177645A) C/W ACCESSORIES</t>
        </is>
      </c>
      <c r="B42" t="inlineStr">
        <is>
          <t>Austin Engineering Limited</t>
        </is>
      </c>
      <c r="C42" t="n">
        <v>7</v>
      </c>
      <c r="D42" s="2" t="n">
        <v>5324.29</v>
      </c>
      <c r="E42" s="2" t="n">
        <v>50925.74</v>
      </c>
      <c r="F42" s="2" t="n">
        <v>2224403.79</v>
      </c>
      <c r="G42" s="2" t="n">
        <v>231371</v>
      </c>
      <c r="H42" t="inlineStr">
        <is>
          <t>Australia</t>
        </is>
      </c>
      <c r="I42" t="inlineStr">
        <is>
          <t>AUD</t>
        </is>
      </c>
      <c r="J42" t="inlineStr">
        <is>
          <t>Komatsu</t>
        </is>
      </c>
      <c r="K42" t="inlineStr">
        <is>
          <t>930E</t>
        </is>
      </c>
      <c r="L42" s="4">
        <f>$D42*IF($I42="AUD",Assumptions!$B$2,Assumptions!$B$3)*Assumptions!$B$4</f>
        <v/>
      </c>
      <c r="M42" s="4">
        <f>$E42*IF($I42="AUD",Assumptions!$B$2,Assumptions!$B$3)*Assumptions!$B$4</f>
        <v/>
      </c>
      <c r="N42" s="4">
        <f>$F42*IF($I42="AUD",Assumptions!$B$2,Assumptions!$B$3)*Assumptions!$B$4</f>
        <v/>
      </c>
    </row>
    <row r="43">
      <c r="A43" t="inlineStr">
        <is>
          <t>WEST ANGELAS-930E-5 HPT STD (177645A) C/W ACCESSORIES</t>
        </is>
      </c>
      <c r="B43" t="inlineStr">
        <is>
          <t>Austin Engineering Limited</t>
        </is>
      </c>
      <c r="C43" t="n">
        <v>1</v>
      </c>
      <c r="D43" s="2" t="n">
        <v>5324.29</v>
      </c>
      <c r="E43" s="2" t="n">
        <v>50925.74</v>
      </c>
      <c r="F43" s="2" t="n">
        <v>321883.17</v>
      </c>
      <c r="G43" s="2" t="n">
        <v>33053</v>
      </c>
      <c r="H43" t="inlineStr">
        <is>
          <t>Australia</t>
        </is>
      </c>
      <c r="I43" t="inlineStr">
        <is>
          <t>AUD</t>
        </is>
      </c>
      <c r="J43" t="inlineStr">
        <is>
          <t>Komatsu</t>
        </is>
      </c>
      <c r="K43" t="inlineStr">
        <is>
          <t>930E</t>
        </is>
      </c>
      <c r="L43" s="4">
        <f>$D43*IF($I43="AUD",Assumptions!$B$2,Assumptions!$B$3)*Assumptions!$B$4</f>
        <v/>
      </c>
      <c r="M43" s="4">
        <f>$E43*IF($I43="AUD",Assumptions!$B$2,Assumptions!$B$3)*Assumptions!$B$4</f>
        <v/>
      </c>
      <c r="N43" s="4">
        <f>$F43*IF($I43="AUD",Assumptions!$B$2,Assumptions!$B$3)*Assumptions!$B$4</f>
        <v/>
      </c>
    </row>
    <row r="44">
      <c r="A44" t="inlineStr">
        <is>
          <t>TOM PRICE-830E-AC HPT HD (177392B) C/W ACCESSORIES, PO</t>
        </is>
      </c>
      <c r="B44" t="inlineStr">
        <is>
          <t>Austin Engineering Limited</t>
        </is>
      </c>
      <c r="C44" t="n">
        <v>2</v>
      </c>
      <c r="D44" s="2" t="n">
        <v>3918.07</v>
      </c>
      <c r="E44" s="2" t="n">
        <v>37475.57</v>
      </c>
      <c r="F44" s="2" t="n">
        <v>586245.9399999999</v>
      </c>
      <c r="G44" s="2" t="n">
        <v>60836</v>
      </c>
      <c r="H44" t="inlineStr">
        <is>
          <t>Australia</t>
        </is>
      </c>
      <c r="I44" t="inlineStr">
        <is>
          <t>AUD</t>
        </is>
      </c>
      <c r="J44" t="inlineStr">
        <is>
          <t>Komatsu</t>
        </is>
      </c>
      <c r="K44" t="inlineStr">
        <is>
          <t>830E</t>
        </is>
      </c>
      <c r="L44" s="4">
        <f>$D44*IF($I44="AUD",Assumptions!$B$2,Assumptions!$B$3)*Assumptions!$B$4</f>
        <v/>
      </c>
      <c r="M44" s="4">
        <f>$E44*IF($I44="AUD",Assumptions!$B$2,Assumptions!$B$3)*Assumptions!$B$4</f>
        <v/>
      </c>
      <c r="N44" s="4">
        <f>$F44*IF($I44="AUD",Assumptions!$B$2,Assumptions!$B$3)*Assumptions!$B$4</f>
        <v/>
      </c>
    </row>
    <row r="45">
      <c r="A45" t="inlineStr">
        <is>
          <t>YANDICOOGINA-930E-5 HPT STD (177645A) C/W ACCESSORIES</t>
        </is>
      </c>
      <c r="B45" t="inlineStr">
        <is>
          <t>Austin Engineering Limited</t>
        </is>
      </c>
      <c r="C45" t="n">
        <v>4</v>
      </c>
      <c r="D45" s="2" t="n">
        <v>3918.07</v>
      </c>
      <c r="E45" s="2" t="n">
        <v>37475.57</v>
      </c>
      <c r="F45" s="2" t="n">
        <v>1287532.68</v>
      </c>
      <c r="G45" s="2" t="n">
        <v>132212</v>
      </c>
      <c r="H45" t="inlineStr">
        <is>
          <t>Australia</t>
        </is>
      </c>
      <c r="I45" t="inlineStr">
        <is>
          <t>AUD</t>
        </is>
      </c>
      <c r="J45" t="inlineStr">
        <is>
          <t>Komatsu</t>
        </is>
      </c>
      <c r="K45" t="inlineStr">
        <is>
          <t>930E</t>
        </is>
      </c>
      <c r="L45" s="4">
        <f>$D45*IF($I45="AUD",Assumptions!$B$2,Assumptions!$B$3)*Assumptions!$B$4</f>
        <v/>
      </c>
      <c r="M45" s="4">
        <f>$E45*IF($I45="AUD",Assumptions!$B$2,Assumptions!$B$3)*Assumptions!$B$4</f>
        <v/>
      </c>
      <c r="N45" s="4">
        <f>$F45*IF($I45="AUD",Assumptions!$B$2,Assumptions!$B$3)*Assumptions!$B$4</f>
        <v/>
      </c>
    </row>
    <row r="46">
      <c r="A46" t="inlineStr">
        <is>
          <t>TOM PRICE-830E-AC HPT HD (177392B) C/W ACCESSORIES, PO</t>
        </is>
      </c>
      <c r="B46" t="inlineStr">
        <is>
          <t>Austin Engineering Limited</t>
        </is>
      </c>
      <c r="C46" t="n">
        <v>6</v>
      </c>
      <c r="D46" s="2" t="n">
        <v>3677.52</v>
      </c>
      <c r="E46" s="2" t="n">
        <v>35174.76</v>
      </c>
      <c r="F46" s="2" t="n">
        <v>1758737.82</v>
      </c>
      <c r="G46" s="2" t="n">
        <v>182508</v>
      </c>
      <c r="H46" t="inlineStr">
        <is>
          <t>Australia</t>
        </is>
      </c>
      <c r="I46" t="inlineStr">
        <is>
          <t>AUD</t>
        </is>
      </c>
      <c r="J46" t="inlineStr">
        <is>
          <t>Komatsu</t>
        </is>
      </c>
      <c r="K46" t="inlineStr">
        <is>
          <t>830E</t>
        </is>
      </c>
      <c r="L46" s="4">
        <f>$D46*IF($I46="AUD",Assumptions!$B$2,Assumptions!$B$3)*Assumptions!$B$4</f>
        <v/>
      </c>
      <c r="M46" s="4">
        <f>$E46*IF($I46="AUD",Assumptions!$B$2,Assumptions!$B$3)*Assumptions!$B$4</f>
        <v/>
      </c>
      <c r="N46" s="4">
        <f>$F46*IF($I46="AUD",Assumptions!$B$2,Assumptions!$B$3)*Assumptions!$B$4</f>
        <v/>
      </c>
    </row>
    <row r="47">
      <c r="A47" t="inlineStr">
        <is>
          <t>TOM PRICE-830E-AC HPT HD (177392B) C/W ACCESSORIES, PO</t>
        </is>
      </c>
      <c r="B47" t="inlineStr">
        <is>
          <t>Austin Engineering Limited</t>
        </is>
      </c>
      <c r="C47" t="n">
        <v>6</v>
      </c>
      <c r="D47" s="2" t="n">
        <v>3677.52</v>
      </c>
      <c r="E47" s="2" t="n">
        <v>35174.76</v>
      </c>
      <c r="F47" s="2" t="n">
        <v>1758737.82</v>
      </c>
      <c r="G47" s="2" t="n">
        <v>182508</v>
      </c>
      <c r="H47" t="inlineStr">
        <is>
          <t>Australia</t>
        </is>
      </c>
      <c r="I47" t="inlineStr">
        <is>
          <t>AUD</t>
        </is>
      </c>
      <c r="J47" t="inlineStr">
        <is>
          <t>Komatsu</t>
        </is>
      </c>
      <c r="K47" t="inlineStr">
        <is>
          <t>830E</t>
        </is>
      </c>
      <c r="L47" s="4">
        <f>$D47*IF($I47="AUD",Assumptions!$B$2,Assumptions!$B$3)*Assumptions!$B$4</f>
        <v/>
      </c>
      <c r="M47" s="4">
        <f>$E47*IF($I47="AUD",Assumptions!$B$2,Assumptions!$B$3)*Assumptions!$B$4</f>
        <v/>
      </c>
      <c r="N47" s="4">
        <f>$F47*IF($I47="AUD",Assumptions!$B$2,Assumptions!$B$3)*Assumptions!$B$4</f>
        <v/>
      </c>
    </row>
    <row r="48">
      <c r="A48" t="inlineStr">
        <is>
          <t>RIO-TINTO-KOMATSU 830E-5HPT STD (177086C) WESTERN RAI</t>
        </is>
      </c>
      <c r="B48" t="inlineStr">
        <is>
          <t>Hamersley Iron Pty Limited</t>
        </is>
      </c>
      <c r="C48" t="n">
        <v>3</v>
      </c>
      <c r="D48" s="2" t="n">
        <v>3831.6</v>
      </c>
      <c r="E48" s="2" t="n">
        <v>36648.54</v>
      </c>
      <c r="F48" s="2" t="n">
        <v>964499.91</v>
      </c>
      <c r="G48" s="2" t="n">
        <v>94500</v>
      </c>
      <c r="H48" t="inlineStr">
        <is>
          <t>Australia</t>
        </is>
      </c>
      <c r="I48" t="inlineStr">
        <is>
          <t>AUD</t>
        </is>
      </c>
      <c r="J48" t="inlineStr">
        <is>
          <t>Komatsu</t>
        </is>
      </c>
      <c r="K48" t="inlineStr">
        <is>
          <t>830E</t>
        </is>
      </c>
      <c r="L48" s="4">
        <f>$D48*IF($I48="AUD",Assumptions!$B$2,Assumptions!$B$3)*Assumptions!$B$4</f>
        <v/>
      </c>
      <c r="M48" s="4">
        <f>$E48*IF($I48="AUD",Assumptions!$B$2,Assumptions!$B$3)*Assumptions!$B$4</f>
        <v/>
      </c>
      <c r="N48" s="4">
        <f>$F48*IF($I48="AUD",Assumptions!$B$2,Assumptions!$B$3)*Assumptions!$B$4</f>
        <v/>
      </c>
    </row>
    <row r="49">
      <c r="A49" t="inlineStr">
        <is>
          <t>RIO-TINTO-KOMATSU 930E-4HPT STD (177390B) WEST ANGEL</t>
        </is>
      </c>
      <c r="B49" t="inlineStr">
        <is>
          <t>Hamersley Iron Pty Limited</t>
        </is>
      </c>
      <c r="C49" t="n">
        <v>3</v>
      </c>
      <c r="D49" s="2" t="n">
        <v>3831.6</v>
      </c>
      <c r="E49" s="2" t="n">
        <v>36648.54</v>
      </c>
      <c r="F49" s="2" t="n">
        <v>867926.91</v>
      </c>
      <c r="G49" s="2" t="n">
        <v>101070</v>
      </c>
      <c r="H49" t="inlineStr">
        <is>
          <t>Australia</t>
        </is>
      </c>
      <c r="I49" t="inlineStr">
        <is>
          <t>AUD</t>
        </is>
      </c>
      <c r="J49" t="inlineStr">
        <is>
          <t>Komatsu</t>
        </is>
      </c>
      <c r="K49" t="inlineStr">
        <is>
          <t>930E</t>
        </is>
      </c>
      <c r="L49" s="4">
        <f>$D49*IF($I49="AUD",Assumptions!$B$2,Assumptions!$B$3)*Assumptions!$B$4</f>
        <v/>
      </c>
      <c r="M49" s="4">
        <f>$E49*IF($I49="AUD",Assumptions!$B$2,Assumptions!$B$3)*Assumptions!$B$4</f>
        <v/>
      </c>
      <c r="N49" s="4">
        <f>$F49*IF($I49="AUD",Assumptions!$B$2,Assumptions!$B$3)*Assumptions!$B$4</f>
        <v/>
      </c>
    </row>
    <row r="50">
      <c r="A50" t="inlineStr">
        <is>
          <t>KOMATSU 830E-5HPT STD (177390B) HOPE DOWNS 2 EXP C/W</t>
        </is>
      </c>
      <c r="B50" t="inlineStr">
        <is>
          <t>Hamersley Iron Pty Limited</t>
        </is>
      </c>
      <c r="C50" t="n">
        <v>4</v>
      </c>
      <c r="D50" s="2" t="n">
        <v>3609.09</v>
      </c>
      <c r="E50" s="2" t="n">
        <v>34520.28</v>
      </c>
      <c r="F50" s="2" t="n">
        <v>1147395.88</v>
      </c>
      <c r="G50" s="2" t="n">
        <v>113700</v>
      </c>
      <c r="H50" t="inlineStr">
        <is>
          <t>Australia</t>
        </is>
      </c>
      <c r="I50" t="inlineStr">
        <is>
          <t>AUD</t>
        </is>
      </c>
      <c r="J50" t="inlineStr">
        <is>
          <t>Komatsu</t>
        </is>
      </c>
      <c r="K50" t="inlineStr">
        <is>
          <t>830E</t>
        </is>
      </c>
      <c r="L50" s="4">
        <f>$D50*IF($I50="AUD",Assumptions!$B$2,Assumptions!$B$3)*Assumptions!$B$4</f>
        <v/>
      </c>
      <c r="M50" s="4">
        <f>$E50*IF($I50="AUD",Assumptions!$B$2,Assumptions!$B$3)*Assumptions!$B$4</f>
        <v/>
      </c>
      <c r="N50" s="4">
        <f>$F50*IF($I50="AUD",Assumptions!$B$2,Assumptions!$B$3)*Assumptions!$B$4</f>
        <v/>
      </c>
    </row>
    <row r="51">
      <c r="A51" t="inlineStr">
        <is>
          <t>KOMATSU 930E-4HPT STD-NAMMULDI (177390B) C/W ACCESS</t>
        </is>
      </c>
      <c r="B51" t="inlineStr">
        <is>
          <t>Hamersley Iron Pty Limited</t>
        </is>
      </c>
      <c r="C51" t="n">
        <v>1</v>
      </c>
      <c r="D51" s="2" t="n">
        <v>3609.09</v>
      </c>
      <c r="E51" s="2" t="n">
        <v>34520.28</v>
      </c>
      <c r="F51" s="2" t="n">
        <v>289308.97</v>
      </c>
      <c r="G51" s="2" t="n">
        <v>34295</v>
      </c>
      <c r="H51" t="inlineStr">
        <is>
          <t>Australia</t>
        </is>
      </c>
      <c r="I51" t="inlineStr">
        <is>
          <t>AUD</t>
        </is>
      </c>
      <c r="J51" t="inlineStr">
        <is>
          <t>Komatsu</t>
        </is>
      </c>
      <c r="K51" t="inlineStr">
        <is>
          <t>930E</t>
        </is>
      </c>
      <c r="L51" s="4">
        <f>$D51*IF($I51="AUD",Assumptions!$B$2,Assumptions!$B$3)*Assumptions!$B$4</f>
        <v/>
      </c>
      <c r="M51" s="4">
        <f>$E51*IF($I51="AUD",Assumptions!$B$2,Assumptions!$B$3)*Assumptions!$B$4</f>
        <v/>
      </c>
      <c r="N51" s="4">
        <f>$F51*IF($I51="AUD",Assumptions!$B$2,Assumptions!$B$3)*Assumptions!$B$4</f>
        <v/>
      </c>
    </row>
    <row r="52">
      <c r="A52" t="inlineStr">
        <is>
          <t>830E-5 HPT MAX STD C/W ACCESSORIES PO REFERENCE : 301</t>
        </is>
      </c>
      <c r="B52" t="inlineStr">
        <is>
          <t>Austin Engineering Limited</t>
        </is>
      </c>
      <c r="C52" t="n">
        <v>4</v>
      </c>
      <c r="D52" s="2" t="n">
        <v>3008.48</v>
      </c>
      <c r="E52" s="2" t="n">
        <v>29198.6</v>
      </c>
      <c r="F52" s="2" t="n">
        <v>1147390</v>
      </c>
      <c r="G52" s="2" t="n">
        <v>112572</v>
      </c>
      <c r="H52" t="inlineStr">
        <is>
          <t>Australia</t>
        </is>
      </c>
      <c r="I52" t="inlineStr">
        <is>
          <t>AUD</t>
        </is>
      </c>
      <c r="J52" t="inlineStr">
        <is>
          <t>Komatsu</t>
        </is>
      </c>
      <c r="K52" t="inlineStr">
        <is>
          <t>830E</t>
        </is>
      </c>
      <c r="L52" s="4">
        <f>$D52*IF($I52="AUD",Assumptions!$B$2,Assumptions!$B$3)*Assumptions!$B$4</f>
        <v/>
      </c>
      <c r="M52" s="4">
        <f>$E52*IF($I52="AUD",Assumptions!$B$2,Assumptions!$B$3)*Assumptions!$B$4</f>
        <v/>
      </c>
      <c r="N52" s="4">
        <f>$F52*IF($I52="AUD",Assumptions!$B$2,Assumptions!$B$3)*Assumptions!$B$4</f>
        <v/>
      </c>
    </row>
    <row r="53">
      <c r="A53" t="inlineStr">
        <is>
          <t>CATERPILLAR 785C TRUCK BODY C/W BODY ADDITION</t>
        </is>
      </c>
      <c r="B53" t="inlineStr">
        <is>
          <t>Austin Engineering Limited</t>
        </is>
      </c>
      <c r="C53" t="n">
        <v>2</v>
      </c>
      <c r="D53" s="2" t="n">
        <v>1337.74</v>
      </c>
      <c r="E53" s="2" t="n">
        <v>12983.3</v>
      </c>
      <c r="F53" s="2" t="n">
        <v>639572</v>
      </c>
      <c r="G53" s="2" t="n">
        <v>42066</v>
      </c>
      <c r="H53" t="inlineStr">
        <is>
          <t>Australia</t>
        </is>
      </c>
      <c r="I53" t="inlineStr">
        <is>
          <t>AUD</t>
        </is>
      </c>
      <c r="J53" t="inlineStr">
        <is>
          <t>Caterpillar</t>
        </is>
      </c>
      <c r="K53" t="inlineStr">
        <is>
          <t>785</t>
        </is>
      </c>
      <c r="L53" s="4">
        <f>$D53*IF($I53="AUD",Assumptions!$B$2,Assumptions!$B$3)*Assumptions!$B$4</f>
        <v/>
      </c>
      <c r="M53" s="4">
        <f>$E53*IF($I53="AUD",Assumptions!$B$2,Assumptions!$B$3)*Assumptions!$B$4</f>
        <v/>
      </c>
      <c r="N53" s="4">
        <f>$F53*IF($I53="AUD",Assumptions!$B$2,Assumptions!$B$3)*Assumptions!$B$4</f>
        <v/>
      </c>
    </row>
    <row r="54">
      <c r="A54" t="inlineStr">
        <is>
          <t>930 HPT MAX STD C/W ACCESSORIES PO REFERENCE : 014834</t>
        </is>
      </c>
      <c r="B54" t="inlineStr">
        <is>
          <t>Austin Engineering Limited</t>
        </is>
      </c>
      <c r="C54" t="n">
        <v>5</v>
      </c>
      <c r="D54" s="2" t="n">
        <v>3073.81</v>
      </c>
      <c r="E54" s="2" t="n">
        <v>29832.6</v>
      </c>
      <c r="F54" s="2" t="n">
        <v>1469590</v>
      </c>
      <c r="G54" s="2" t="n">
        <v>154880</v>
      </c>
      <c r="H54" t="inlineStr">
        <is>
          <t>Australia</t>
        </is>
      </c>
      <c r="I54" t="inlineStr">
        <is>
          <t>AUD</t>
        </is>
      </c>
      <c r="J54" t="inlineStr">
        <is>
          <t>Komatsu</t>
        </is>
      </c>
      <c r="K54" t="inlineStr">
        <is>
          <t>930E</t>
        </is>
      </c>
      <c r="L54" s="4">
        <f>$D54*IF($I54="AUD",Assumptions!$B$2,Assumptions!$B$3)*Assumptions!$B$4</f>
        <v/>
      </c>
      <c r="M54" s="4">
        <f>$E54*IF($I54="AUD",Assumptions!$B$2,Assumptions!$B$3)*Assumptions!$B$4</f>
        <v/>
      </c>
      <c r="N54" s="4">
        <f>$F54*IF($I54="AUD",Assumptions!$B$2,Assumptions!$B$3)*Assumptions!$B$4</f>
        <v/>
      </c>
    </row>
    <row r="55">
      <c r="A55" t="inlineStr">
        <is>
          <t>930 HPT MAX STD C/W ACCESSORIES PO REFERENCE : 014834</t>
        </is>
      </c>
      <c r="B55" t="inlineStr">
        <is>
          <t>Austin Engineering Limited</t>
        </is>
      </c>
      <c r="C55" t="n">
        <v>5</v>
      </c>
      <c r="D55" s="2" t="n">
        <v>3073.81</v>
      </c>
      <c r="E55" s="2" t="n">
        <v>29832.6</v>
      </c>
      <c r="F55" s="2" t="n">
        <v>1469590</v>
      </c>
      <c r="G55" s="2" t="n">
        <v>154880</v>
      </c>
      <c r="H55" t="inlineStr">
        <is>
          <t>Australia</t>
        </is>
      </c>
      <c r="I55" t="inlineStr">
        <is>
          <t>AUD</t>
        </is>
      </c>
      <c r="J55" t="inlineStr">
        <is>
          <t>Komatsu</t>
        </is>
      </c>
      <c r="K55" t="inlineStr">
        <is>
          <t>930E</t>
        </is>
      </c>
      <c r="L55" s="4">
        <f>$D55*IF($I55="AUD",Assumptions!$B$2,Assumptions!$B$3)*Assumptions!$B$4</f>
        <v/>
      </c>
      <c r="M55" s="4">
        <f>$E55*IF($I55="AUD",Assumptions!$B$2,Assumptions!$B$3)*Assumptions!$B$4</f>
        <v/>
      </c>
      <c r="N55" s="4">
        <f>$F55*IF($I55="AUD",Assumptions!$B$2,Assumptions!$B$3)*Assumptions!$B$4</f>
        <v/>
      </c>
    </row>
    <row r="56">
      <c r="A56" t="inlineStr">
        <is>
          <t>CATERPILLAR 785C TRUCK BODY C/W BODY ADDITION</t>
        </is>
      </c>
      <c r="B56" t="inlineStr">
        <is>
          <t>Austin Engineering Limited</t>
        </is>
      </c>
      <c r="C56" t="n">
        <v>2</v>
      </c>
      <c r="D56" s="2" t="n">
        <v>1337.74</v>
      </c>
      <c r="E56" s="2" t="n">
        <v>12983.3</v>
      </c>
      <c r="F56" s="2" t="n">
        <v>639572</v>
      </c>
      <c r="G56" s="2" t="n">
        <v>42066</v>
      </c>
      <c r="H56" t="inlineStr">
        <is>
          <t>Australia</t>
        </is>
      </c>
      <c r="I56" t="inlineStr">
        <is>
          <t>AUD</t>
        </is>
      </c>
      <c r="J56" t="inlineStr">
        <is>
          <t>Caterpillar</t>
        </is>
      </c>
      <c r="K56" t="inlineStr">
        <is>
          <t>785</t>
        </is>
      </c>
      <c r="L56" s="4">
        <f>$D56*IF($I56="AUD",Assumptions!$B$2,Assumptions!$B$3)*Assumptions!$B$4</f>
        <v/>
      </c>
      <c r="M56" s="4">
        <f>$E56*IF($I56="AUD",Assumptions!$B$2,Assumptions!$B$3)*Assumptions!$B$4</f>
        <v/>
      </c>
      <c r="N56" s="4">
        <f>$F56*IF($I56="AUD",Assumptions!$B$2,Assumptions!$B$3)*Assumptions!$B$4</f>
        <v/>
      </c>
    </row>
    <row r="57">
      <c r="A57" t="inlineStr">
        <is>
          <t>930 HPT MAX STD C/W ACCESSORIES PO REFERENCE : 301483</t>
        </is>
      </c>
      <c r="B57" t="inlineStr">
        <is>
          <t>Austin Engineering Limited</t>
        </is>
      </c>
      <c r="C57" t="n">
        <v>5</v>
      </c>
      <c r="D57" s="2" t="n">
        <v>3073.81</v>
      </c>
      <c r="E57" s="2" t="n">
        <v>29832.6</v>
      </c>
      <c r="F57" s="2" t="n">
        <v>1469590</v>
      </c>
      <c r="G57" s="2" t="n">
        <v>154880</v>
      </c>
      <c r="H57" t="inlineStr">
        <is>
          <t>Australia</t>
        </is>
      </c>
      <c r="I57" t="inlineStr">
        <is>
          <t>AUD</t>
        </is>
      </c>
      <c r="J57" t="inlineStr">
        <is>
          <t>Komatsu</t>
        </is>
      </c>
      <c r="K57" t="inlineStr">
        <is>
          <t>930E</t>
        </is>
      </c>
      <c r="L57" s="4">
        <f>$D57*IF($I57="AUD",Assumptions!$B$2,Assumptions!$B$3)*Assumptions!$B$4</f>
        <v/>
      </c>
      <c r="M57" s="4">
        <f>$E57*IF($I57="AUD",Assumptions!$B$2,Assumptions!$B$3)*Assumptions!$B$4</f>
        <v/>
      </c>
      <c r="N57" s="4">
        <f>$F57*IF($I57="AUD",Assumptions!$B$2,Assumptions!$B$3)*Assumptions!$B$4</f>
        <v/>
      </c>
    </row>
    <row r="58">
      <c r="A58" t="inlineStr">
        <is>
          <t>930 HPT MAX STD C/W ACCESSORIES PO REFERENCE : 301483</t>
        </is>
      </c>
      <c r="B58" t="inlineStr">
        <is>
          <t>Austin Engineering Limited</t>
        </is>
      </c>
      <c r="C58" t="n">
        <v>5</v>
      </c>
      <c r="D58" s="2" t="n">
        <v>3073.81</v>
      </c>
      <c r="E58" s="2" t="n">
        <v>29832.6</v>
      </c>
      <c r="F58" s="2" t="n">
        <v>1469590</v>
      </c>
      <c r="G58" s="2" t="n">
        <v>154880</v>
      </c>
      <c r="H58" t="inlineStr">
        <is>
          <t>Australia</t>
        </is>
      </c>
      <c r="I58" t="inlineStr">
        <is>
          <t>AUD</t>
        </is>
      </c>
      <c r="J58" t="inlineStr">
        <is>
          <t>Komatsu</t>
        </is>
      </c>
      <c r="K58" t="inlineStr">
        <is>
          <t>930E</t>
        </is>
      </c>
      <c r="L58" s="4">
        <f>$D58*IF($I58="AUD",Assumptions!$B$2,Assumptions!$B$3)*Assumptions!$B$4</f>
        <v/>
      </c>
      <c r="M58" s="4">
        <f>$E58*IF($I58="AUD",Assumptions!$B$2,Assumptions!$B$3)*Assumptions!$B$4</f>
        <v/>
      </c>
      <c r="N58" s="4">
        <f>$F58*IF($I58="AUD",Assumptions!$B$2,Assumptions!$B$3)*Assumptions!$B$4</f>
        <v/>
      </c>
    </row>
    <row r="59">
      <c r="A59" t="inlineStr">
        <is>
          <t>830E HPT MAX STD C/W ACCESSORIES : 014833529, 30148335</t>
        </is>
      </c>
      <c r="B59" t="inlineStr">
        <is>
          <t>Austin Engineering Limited</t>
        </is>
      </c>
      <c r="C59" t="n">
        <v>6</v>
      </c>
      <c r="D59" s="2" t="n">
        <v>3599.86</v>
      </c>
      <c r="E59" s="2" t="n">
        <v>34938.2</v>
      </c>
      <c r="F59" s="2" t="n">
        <v>1721090</v>
      </c>
      <c r="G59" s="2" t="n">
        <v>162984</v>
      </c>
      <c r="H59" t="inlineStr">
        <is>
          <t>Australia</t>
        </is>
      </c>
      <c r="I59" t="inlineStr">
        <is>
          <t>AUD</t>
        </is>
      </c>
      <c r="J59" t="inlineStr">
        <is>
          <t>Komatsu</t>
        </is>
      </c>
      <c r="K59" t="inlineStr">
        <is>
          <t>830E</t>
        </is>
      </c>
      <c r="L59" s="4">
        <f>$D59*IF($I59="AUD",Assumptions!$B$2,Assumptions!$B$3)*Assumptions!$B$4</f>
        <v/>
      </c>
      <c r="M59" s="4">
        <f>$E59*IF($I59="AUD",Assumptions!$B$2,Assumptions!$B$3)*Assumptions!$B$4</f>
        <v/>
      </c>
      <c r="N59" s="4">
        <f>$F59*IF($I59="AUD",Assumptions!$B$2,Assumptions!$B$3)*Assumptions!$B$4</f>
        <v/>
      </c>
    </row>
    <row r="60">
      <c r="A60" t="inlineStr">
        <is>
          <t>HITACHI EH4000AC-3 DUMP BODY INCLUDES BODY ADDITION</t>
        </is>
      </c>
      <c r="B60" t="inlineStr">
        <is>
          <t>Austin Engineering Limited</t>
        </is>
      </c>
      <c r="C60" t="n">
        <v>4</v>
      </c>
      <c r="D60" s="2" t="n">
        <v>2688.9</v>
      </c>
      <c r="E60" s="2" t="n">
        <v>26096.9</v>
      </c>
      <c r="F60" s="2" t="n">
        <v>1285560</v>
      </c>
      <c r="G60" s="2" t="n">
        <v>131236</v>
      </c>
      <c r="H60" t="inlineStr">
        <is>
          <t>Australia</t>
        </is>
      </c>
      <c r="I60" t="inlineStr">
        <is>
          <t>AUD</t>
        </is>
      </c>
      <c r="J60" t="inlineStr">
        <is>
          <t>Hitachi</t>
        </is>
      </c>
      <c r="K60" t="inlineStr">
        <is>
          <t>EH4000AC-3</t>
        </is>
      </c>
      <c r="L60" s="4">
        <f>$D60*IF($I60="AUD",Assumptions!$B$2,Assumptions!$B$3)*Assumptions!$B$4</f>
        <v/>
      </c>
      <c r="M60" s="4">
        <f>$E60*IF($I60="AUD",Assumptions!$B$2,Assumptions!$B$3)*Assumptions!$B$4</f>
        <v/>
      </c>
      <c r="N60" s="4">
        <f>$F60*IF($I60="AUD",Assumptions!$B$2,Assumptions!$B$3)*Assumptions!$B$4</f>
        <v/>
      </c>
    </row>
    <row r="61">
      <c r="A61" t="inlineStr">
        <is>
          <t>830E HPT MAX STD C/W ACCESSORIES : 3014833513</t>
        </is>
      </c>
      <c r="B61" t="inlineStr">
        <is>
          <t>Austin Engineering Limited</t>
        </is>
      </c>
      <c r="C61" t="n">
        <v>1</v>
      </c>
      <c r="D61" s="2" t="n">
        <v>3034.28</v>
      </c>
      <c r="E61" s="2" t="n">
        <v>29449</v>
      </c>
      <c r="F61" s="2" t="n">
        <v>303293</v>
      </c>
      <c r="G61" s="2" t="n">
        <v>26400</v>
      </c>
      <c r="H61" t="inlineStr">
        <is>
          <t>Australia</t>
        </is>
      </c>
      <c r="I61" t="inlineStr">
        <is>
          <t>AUD</t>
        </is>
      </c>
      <c r="J61" t="inlineStr">
        <is>
          <t>Komatsu</t>
        </is>
      </c>
      <c r="K61" t="inlineStr">
        <is>
          <t>830E</t>
        </is>
      </c>
      <c r="L61" s="4">
        <f>$D61*IF($I61="AUD",Assumptions!$B$2,Assumptions!$B$3)*Assumptions!$B$4</f>
        <v/>
      </c>
      <c r="M61" s="4">
        <f>$E61*IF($I61="AUD",Assumptions!$B$2,Assumptions!$B$3)*Assumptions!$B$4</f>
        <v/>
      </c>
      <c r="N61" s="4">
        <f>$F61*IF($I61="AUD",Assumptions!$B$2,Assumptions!$B$3)*Assumptions!$B$4</f>
        <v/>
      </c>
    </row>
    <row r="62">
      <c r="A62" t="inlineStr">
        <is>
          <t>830E HPT MAX STD C/W ACCESSORIES : 3014833499, 3014833</t>
        </is>
      </c>
      <c r="B62" t="inlineStr">
        <is>
          <t>Austin Engineering Limited</t>
        </is>
      </c>
      <c r="C62" t="n">
        <v>4</v>
      </c>
      <c r="D62" s="2" t="n">
        <v>3034.28</v>
      </c>
      <c r="E62" s="2" t="n">
        <v>29449</v>
      </c>
      <c r="F62" s="2" t="n">
        <v>1147390</v>
      </c>
      <c r="G62" s="2" t="n">
        <v>105600</v>
      </c>
      <c r="H62" t="inlineStr">
        <is>
          <t>Australia</t>
        </is>
      </c>
      <c r="I62" t="inlineStr">
        <is>
          <t>AUD</t>
        </is>
      </c>
      <c r="J62" t="inlineStr">
        <is>
          <t>Komatsu</t>
        </is>
      </c>
      <c r="K62" t="inlineStr">
        <is>
          <t>830E</t>
        </is>
      </c>
      <c r="L62" s="4">
        <f>$D62*IF($I62="AUD",Assumptions!$B$2,Assumptions!$B$3)*Assumptions!$B$4</f>
        <v/>
      </c>
      <c r="M62" s="4">
        <f>$E62*IF($I62="AUD",Assumptions!$B$2,Assumptions!$B$3)*Assumptions!$B$4</f>
        <v/>
      </c>
      <c r="N62" s="4">
        <f>$F62*IF($I62="AUD",Assumptions!$B$2,Assumptions!$B$3)*Assumptions!$B$4</f>
        <v/>
      </c>
    </row>
    <row r="63">
      <c r="A63" t="inlineStr">
        <is>
          <t>830E HPT MAX STD C/W ACCESSORIES : 3014834681, 3014834</t>
        </is>
      </c>
      <c r="B63" t="inlineStr">
        <is>
          <t>Austin Engineering Limited</t>
        </is>
      </c>
      <c r="C63" t="n">
        <v>5</v>
      </c>
      <c r="D63" s="2" t="n">
        <v>2999.88</v>
      </c>
      <c r="E63" s="2" t="n">
        <v>29115.1</v>
      </c>
      <c r="F63" s="2" t="n">
        <v>1434240</v>
      </c>
      <c r="G63" s="2" t="n">
        <v>132000</v>
      </c>
      <c r="H63" t="inlineStr">
        <is>
          <t>Australia</t>
        </is>
      </c>
      <c r="I63" t="inlineStr">
        <is>
          <t>AUD</t>
        </is>
      </c>
      <c r="J63" t="inlineStr">
        <is>
          <t>Komatsu</t>
        </is>
      </c>
      <c r="K63" t="inlineStr">
        <is>
          <t>830E</t>
        </is>
      </c>
      <c r="L63" s="4">
        <f>$D63*IF($I63="AUD",Assumptions!$B$2,Assumptions!$B$3)*Assumptions!$B$4</f>
        <v/>
      </c>
      <c r="M63" s="4">
        <f>$E63*IF($I63="AUD",Assumptions!$B$2,Assumptions!$B$3)*Assumptions!$B$4</f>
        <v/>
      </c>
      <c r="N63" s="4">
        <f>$F63*IF($I63="AUD",Assumptions!$B$2,Assumptions!$B$3)*Assumptions!$B$4</f>
        <v/>
      </c>
    </row>
    <row r="64">
      <c r="A64" t="inlineStr">
        <is>
          <t>830E HPT MAX STD C/W ACCESSORIES : 3014834427 ,3014834</t>
        </is>
      </c>
      <c r="B64" t="inlineStr">
        <is>
          <t>Austin Engineering Limited</t>
        </is>
      </c>
      <c r="C64" t="n">
        <v>5</v>
      </c>
      <c r="D64" s="2" t="n">
        <v>2999.88</v>
      </c>
      <c r="E64" s="2" t="n">
        <v>29115.1</v>
      </c>
      <c r="F64" s="2" t="n">
        <v>1434240</v>
      </c>
      <c r="G64" s="2" t="n">
        <v>132000</v>
      </c>
      <c r="H64" t="inlineStr">
        <is>
          <t>Australia</t>
        </is>
      </c>
      <c r="I64" t="inlineStr">
        <is>
          <t>AUD</t>
        </is>
      </c>
      <c r="J64" t="inlineStr">
        <is>
          <t>Komatsu</t>
        </is>
      </c>
      <c r="K64" t="inlineStr">
        <is>
          <t>830E</t>
        </is>
      </c>
      <c r="L64" s="4">
        <f>$D64*IF($I64="AUD",Assumptions!$B$2,Assumptions!$B$3)*Assumptions!$B$4</f>
        <v/>
      </c>
      <c r="M64" s="4">
        <f>$E64*IF($I64="AUD",Assumptions!$B$2,Assumptions!$B$3)*Assumptions!$B$4</f>
        <v/>
      </c>
      <c r="N64" s="4">
        <f>$F64*IF($I64="AUD",Assumptions!$B$2,Assumptions!$B$3)*Assumptions!$B$4</f>
        <v/>
      </c>
    </row>
    <row r="65">
      <c r="A65" t="inlineStr">
        <is>
          <t>BODY 830E HPT MAX HD C/W ACCESSORIES</t>
        </is>
      </c>
      <c r="B65" t="inlineStr">
        <is>
          <t>Pilbara Iron Company Services</t>
        </is>
      </c>
      <c r="C65" t="n">
        <v>4</v>
      </c>
      <c r="D65" s="2" t="n">
        <v>10871.7</v>
      </c>
      <c r="E65" s="2" t="n">
        <v>105514</v>
      </c>
      <c r="F65" s="2" t="n">
        <v>1133810</v>
      </c>
      <c r="G65" s="2" t="n">
        <v>110844</v>
      </c>
      <c r="H65" t="inlineStr">
        <is>
          <t>Australia</t>
        </is>
      </c>
      <c r="I65" t="inlineStr">
        <is>
          <t>AUD</t>
        </is>
      </c>
      <c r="J65" t="inlineStr">
        <is>
          <t>Komatsu</t>
        </is>
      </c>
      <c r="K65" t="inlineStr">
        <is>
          <t>830E</t>
        </is>
      </c>
      <c r="L65" s="4">
        <f>$D65*IF($I65="AUD",Assumptions!$B$2,Assumptions!$B$3)*Assumptions!$B$4</f>
        <v/>
      </c>
      <c r="M65" s="4">
        <f>$E65*IF($I65="AUD",Assumptions!$B$2,Assumptions!$B$3)*Assumptions!$B$4</f>
        <v/>
      </c>
      <c r="N65" s="4">
        <f>$F65*IF($I65="AUD",Assumptions!$B$2,Assumptions!$B$3)*Assumptions!$B$4</f>
        <v/>
      </c>
    </row>
    <row r="66">
      <c r="A66" t="inlineStr">
        <is>
          <t>KOMATSU HPT HD830-5 C/W ACCESSORIES</t>
        </is>
      </c>
      <c r="B66" t="inlineStr">
        <is>
          <t>Pilbara Iron Company Services</t>
        </is>
      </c>
      <c r="C66" t="n">
        <v>3</v>
      </c>
      <c r="D66" s="2" t="n">
        <v>10871.7</v>
      </c>
      <c r="E66" s="2" t="n">
        <v>105514</v>
      </c>
      <c r="F66" s="2" t="n">
        <v>966745</v>
      </c>
      <c r="G66" s="2" t="n">
        <v>93600</v>
      </c>
      <c r="H66" t="inlineStr">
        <is>
          <t>Australia</t>
        </is>
      </c>
      <c r="I66" t="inlineStr">
        <is>
          <t>AUD</t>
        </is>
      </c>
      <c r="J66" t="inlineStr">
        <is>
          <t>Komatsu</t>
        </is>
      </c>
      <c r="K66" t="inlineStr">
        <is>
          <t>830E</t>
        </is>
      </c>
      <c r="L66" s="4">
        <f>$D66*IF($I66="AUD",Assumptions!$B$2,Assumptions!$B$3)*Assumptions!$B$4</f>
        <v/>
      </c>
      <c r="M66" s="4">
        <f>$E66*IF($I66="AUD",Assumptions!$B$2,Assumptions!$B$3)*Assumptions!$B$4</f>
        <v/>
      </c>
      <c r="N66" s="4">
        <f>$F66*IF($I66="AUD",Assumptions!$B$2,Assumptions!$B$3)*Assumptions!$B$4</f>
        <v/>
      </c>
    </row>
    <row r="67">
      <c r="A67" t="inlineStr">
        <is>
          <t>KOMATSU HPT HD830-5 C/W ACCESSORIES</t>
        </is>
      </c>
      <c r="B67" t="inlineStr">
        <is>
          <t>Pilbara Iron Company Services</t>
        </is>
      </c>
      <c r="C67" t="n">
        <v>5</v>
      </c>
      <c r="D67" s="2" t="n">
        <v>10871.7</v>
      </c>
      <c r="E67" s="2" t="n">
        <v>105514</v>
      </c>
      <c r="F67" s="2" t="n">
        <v>1590610</v>
      </c>
      <c r="G67" s="2" t="n">
        <v>156000</v>
      </c>
      <c r="H67" t="inlineStr">
        <is>
          <t>Australia</t>
        </is>
      </c>
      <c r="I67" t="inlineStr">
        <is>
          <t>AUD</t>
        </is>
      </c>
      <c r="J67" t="inlineStr">
        <is>
          <t>Komatsu</t>
        </is>
      </c>
      <c r="K67" t="inlineStr">
        <is>
          <t>830E</t>
        </is>
      </c>
      <c r="L67" s="4">
        <f>$D67*IF($I67="AUD",Assumptions!$B$2,Assumptions!$B$3)*Assumptions!$B$4</f>
        <v/>
      </c>
      <c r="M67" s="4">
        <f>$E67*IF($I67="AUD",Assumptions!$B$2,Assumptions!$B$3)*Assumptions!$B$4</f>
        <v/>
      </c>
      <c r="N67" s="4">
        <f>$F67*IF($I67="AUD",Assumptions!$B$2,Assumptions!$B$3)*Assumptions!$B$4</f>
        <v/>
      </c>
    </row>
    <row r="68">
      <c r="A68" t="inlineStr">
        <is>
          <t>930 HPT MAX STD C/W ACCESSORIES</t>
        </is>
      </c>
      <c r="B68" t="inlineStr">
        <is>
          <t>Pilbara Iron Company Services</t>
        </is>
      </c>
      <c r="C68" t="n">
        <v>4</v>
      </c>
      <c r="D68" s="2" t="n">
        <v>10871.7</v>
      </c>
      <c r="E68" s="2" t="n">
        <v>105514</v>
      </c>
      <c r="F68" s="2" t="n">
        <v>1175670</v>
      </c>
      <c r="G68" s="2" t="n">
        <v>121904</v>
      </c>
      <c r="H68" t="inlineStr">
        <is>
          <t>Australia</t>
        </is>
      </c>
      <c r="I68" t="inlineStr">
        <is>
          <t>AUD</t>
        </is>
      </c>
      <c r="J68" t="inlineStr">
        <is>
          <t>Komatsu</t>
        </is>
      </c>
      <c r="K68" t="inlineStr">
        <is>
          <t>930E</t>
        </is>
      </c>
      <c r="L68" s="4">
        <f>$D68*IF($I68="AUD",Assumptions!$B$2,Assumptions!$B$3)*Assumptions!$B$4</f>
        <v/>
      </c>
      <c r="M68" s="4">
        <f>$E68*IF($I68="AUD",Assumptions!$B$2,Assumptions!$B$3)*Assumptions!$B$4</f>
        <v/>
      </c>
      <c r="N68" s="4">
        <f>$F68*IF($I68="AUD",Assumptions!$B$2,Assumptions!$B$3)*Assumptions!$B$4</f>
        <v/>
      </c>
    </row>
    <row r="69">
      <c r="A69" t="inlineStr">
        <is>
          <t>930 HPT MAX STD C/W ACCESSORIES</t>
        </is>
      </c>
      <c r="B69" t="inlineStr">
        <is>
          <t>Pilbara Iron Company Services</t>
        </is>
      </c>
      <c r="C69" t="n">
        <v>1</v>
      </c>
      <c r="D69" s="2" t="n">
        <v>10871.7</v>
      </c>
      <c r="E69" s="2" t="n">
        <v>105514</v>
      </c>
      <c r="F69" s="2" t="n">
        <v>330918</v>
      </c>
      <c r="G69" s="2" t="n">
        <v>30476</v>
      </c>
      <c r="H69" t="inlineStr">
        <is>
          <t>Australia</t>
        </is>
      </c>
      <c r="I69" t="inlineStr">
        <is>
          <t>AUD</t>
        </is>
      </c>
      <c r="J69" t="inlineStr">
        <is>
          <t>Komatsu</t>
        </is>
      </c>
      <c r="K69" t="inlineStr">
        <is>
          <t>930E</t>
        </is>
      </c>
      <c r="L69" s="4">
        <f>$D69*IF($I69="AUD",Assumptions!$B$2,Assumptions!$B$3)*Assumptions!$B$4</f>
        <v/>
      </c>
      <c r="M69" s="4">
        <f>$E69*IF($I69="AUD",Assumptions!$B$2,Assumptions!$B$3)*Assumptions!$B$4</f>
        <v/>
      </c>
      <c r="N69" s="4">
        <f>$F69*IF($I69="AUD",Assumptions!$B$2,Assumptions!$B$3)*Assumptions!$B$4</f>
        <v/>
      </c>
    </row>
    <row r="70">
      <c r="A70" t="inlineStr">
        <is>
          <t>830E HPT MAX STD C/W ACCESSORIES PO REFERENCE: 301483</t>
        </is>
      </c>
      <c r="B70" t="inlineStr">
        <is>
          <t>Austin Engineering Limited</t>
        </is>
      </c>
      <c r="C70" t="n">
        <v>1</v>
      </c>
      <c r="D70" s="2" t="n">
        <v>3085.87</v>
      </c>
      <c r="E70" s="2" t="n">
        <v>29949.7</v>
      </c>
      <c r="F70" s="2" t="n">
        <v>327961</v>
      </c>
      <c r="G70" s="2" t="n">
        <v>26400</v>
      </c>
      <c r="H70" t="inlineStr">
        <is>
          <t>Australia</t>
        </is>
      </c>
      <c r="I70" t="inlineStr">
        <is>
          <t>AUD</t>
        </is>
      </c>
      <c r="J70" t="inlineStr">
        <is>
          <t>Komatsu</t>
        </is>
      </c>
      <c r="K70" t="inlineStr">
        <is>
          <t>830E</t>
        </is>
      </c>
      <c r="L70" s="4">
        <f>$D70*IF($I70="AUD",Assumptions!$B$2,Assumptions!$B$3)*Assumptions!$B$4</f>
        <v/>
      </c>
      <c r="M70" s="4">
        <f>$E70*IF($I70="AUD",Assumptions!$B$2,Assumptions!$B$3)*Assumptions!$B$4</f>
        <v/>
      </c>
      <c r="N70" s="4">
        <f>$F70*IF($I70="AUD",Assumptions!$B$2,Assumptions!$B$3)*Assumptions!$B$4</f>
        <v/>
      </c>
    </row>
    <row r="71">
      <c r="A71" t="inlineStr">
        <is>
          <t>830E HPT MAX STD C/W ACCESSORIES PO REFERENCE : 30148</t>
        </is>
      </c>
      <c r="B71" t="inlineStr">
        <is>
          <t>Austin Engineering Limited</t>
        </is>
      </c>
      <c r="C71" t="n">
        <v>4</v>
      </c>
      <c r="D71" s="2" t="n">
        <v>3085.87</v>
      </c>
      <c r="E71" s="2" t="n">
        <v>29949.7</v>
      </c>
      <c r="F71" s="2" t="n">
        <v>1147390</v>
      </c>
      <c r="G71" s="2" t="n">
        <v>105600</v>
      </c>
      <c r="H71" t="inlineStr">
        <is>
          <t>Australia</t>
        </is>
      </c>
      <c r="I71" t="inlineStr">
        <is>
          <t>AUD</t>
        </is>
      </c>
      <c r="J71" t="inlineStr">
        <is>
          <t>Komatsu</t>
        </is>
      </c>
      <c r="K71" t="inlineStr">
        <is>
          <t>830E</t>
        </is>
      </c>
      <c r="L71" s="4">
        <f>$D71*IF($I71="AUD",Assumptions!$B$2,Assumptions!$B$3)*Assumptions!$B$4</f>
        <v/>
      </c>
      <c r="M71" s="4">
        <f>$E71*IF($I71="AUD",Assumptions!$B$2,Assumptions!$B$3)*Assumptions!$B$4</f>
        <v/>
      </c>
      <c r="N71" s="4">
        <f>$F71*IF($I71="AUD",Assumptions!$B$2,Assumptions!$B$3)*Assumptions!$B$4</f>
        <v/>
      </c>
    </row>
    <row r="72">
      <c r="A72" t="inlineStr">
        <is>
          <t>930E HPT MAX STD PO REFERENCE : 3014833393 , 3014833457</t>
        </is>
      </c>
      <c r="B72" t="inlineStr">
        <is>
          <t>Austin Engineering Limited</t>
        </is>
      </c>
      <c r="C72" t="n">
        <v>5</v>
      </c>
      <c r="D72" s="2" t="n">
        <v>3073.81</v>
      </c>
      <c r="E72" s="2" t="n">
        <v>29832.6</v>
      </c>
      <c r="F72" s="2" t="n">
        <v>1469590</v>
      </c>
      <c r="G72" s="2" t="n">
        <v>152380</v>
      </c>
      <c r="H72" t="inlineStr">
        <is>
          <t>Australia</t>
        </is>
      </c>
      <c r="I72" t="inlineStr">
        <is>
          <t>AUD</t>
        </is>
      </c>
      <c r="J72" t="inlineStr">
        <is>
          <t>Komatsu</t>
        </is>
      </c>
      <c r="K72" t="inlineStr">
        <is>
          <t>930E</t>
        </is>
      </c>
      <c r="L72" s="4">
        <f>$D72*IF($I72="AUD",Assumptions!$B$2,Assumptions!$B$3)*Assumptions!$B$4</f>
        <v/>
      </c>
      <c r="M72" s="4">
        <f>$E72*IF($I72="AUD",Assumptions!$B$2,Assumptions!$B$3)*Assumptions!$B$4</f>
        <v/>
      </c>
      <c r="N72" s="4">
        <f>$F72*IF($I72="AUD",Assumptions!$B$2,Assumptions!$B$3)*Assumptions!$B$4</f>
        <v/>
      </c>
    </row>
    <row r="73">
      <c r="A73" t="inlineStr">
        <is>
          <t>CAPCOAL KOM 830-5 HPT C/W BODY ADDITIONS</t>
        </is>
      </c>
      <c r="B73" t="inlineStr">
        <is>
          <t>Austin Engineering Limited</t>
        </is>
      </c>
      <c r="C73" t="n">
        <v>7</v>
      </c>
      <c r="D73" s="2" t="n">
        <v>5782.01</v>
      </c>
      <c r="E73" s="2" t="n">
        <v>56116.8</v>
      </c>
      <c r="F73" s="2" t="n">
        <v>2764380</v>
      </c>
      <c r="G73" s="2" t="n">
        <v>242431</v>
      </c>
      <c r="H73" t="inlineStr">
        <is>
          <t>Australia</t>
        </is>
      </c>
      <c r="I73" t="inlineStr">
        <is>
          <t>AUD</t>
        </is>
      </c>
      <c r="J73" t="inlineStr">
        <is>
          <t>Komatsu</t>
        </is>
      </c>
      <c r="K73" t="inlineStr">
        <is>
          <t>830E</t>
        </is>
      </c>
      <c r="L73" s="4">
        <f>$D73*IF($I73="AUD",Assumptions!$B$2,Assumptions!$B$3)*Assumptions!$B$4</f>
        <v/>
      </c>
      <c r="M73" s="4">
        <f>$E73*IF($I73="AUD",Assumptions!$B$2,Assumptions!$B$3)*Assumptions!$B$4</f>
        <v/>
      </c>
      <c r="N73" s="4">
        <f>$F73*IF($I73="AUD",Assumptions!$B$2,Assumptions!$B$3)*Assumptions!$B$4</f>
        <v/>
      </c>
    </row>
    <row r="74">
      <c r="A74" t="inlineStr">
        <is>
          <t>EPIROC MT65 JEC UNDERGROUND BODY</t>
        </is>
      </c>
      <c r="B74" t="inlineStr">
        <is>
          <t>Austin Engineering Limited</t>
        </is>
      </c>
      <c r="C74" t="n">
        <v>2</v>
      </c>
      <c r="D74" s="2" t="n">
        <v>639.53</v>
      </c>
      <c r="E74" s="2" t="n">
        <v>6206.9</v>
      </c>
      <c r="F74" s="2" t="n">
        <v>305759</v>
      </c>
      <c r="G74" s="2" t="n">
        <v>21800</v>
      </c>
      <c r="H74" t="inlineStr">
        <is>
          <t>Australia</t>
        </is>
      </c>
      <c r="I74" t="inlineStr">
        <is>
          <t>AUD</t>
        </is>
      </c>
      <c r="J74" t="inlineStr">
        <is>
          <t>Epiroc</t>
        </is>
      </c>
      <c r="K74" t="inlineStr">
        <is>
          <t>MT65</t>
        </is>
      </c>
      <c r="L74" s="4">
        <f>$D74*IF($I74="AUD",Assumptions!$B$2,Assumptions!$B$3)*Assumptions!$B$4</f>
        <v/>
      </c>
      <c r="M74" s="4">
        <f>$E74*IF($I74="AUD",Assumptions!$B$2,Assumptions!$B$3)*Assumptions!$B$4</f>
        <v/>
      </c>
      <c r="N74" s="4">
        <f>$F74*IF($I74="AUD",Assumptions!$B$2,Assumptions!$B$3)*Assumptions!$B$4</f>
        <v/>
      </c>
    </row>
    <row r="75">
      <c r="A75" t="inlineStr">
        <is>
          <t>930 HPT MAX STD PO REFERENCE : 3014829299 , 3014829300,</t>
        </is>
      </c>
      <c r="B75" t="inlineStr">
        <is>
          <t>Austin Engineering Limited</t>
        </is>
      </c>
      <c r="C75" t="n">
        <v>3</v>
      </c>
      <c r="D75" s="2" t="n">
        <v>1844.29</v>
      </c>
      <c r="E75" s="2" t="n">
        <v>17899.6</v>
      </c>
      <c r="F75" s="2" t="n">
        <v>881753</v>
      </c>
      <c r="G75" s="2" t="n">
        <v>91428</v>
      </c>
      <c r="H75" t="inlineStr">
        <is>
          <t>Australia</t>
        </is>
      </c>
      <c r="I75" t="inlineStr">
        <is>
          <t>AUD</t>
        </is>
      </c>
      <c r="J75" t="inlineStr">
        <is>
          <t>Komatsu</t>
        </is>
      </c>
      <c r="K75" t="inlineStr">
        <is>
          <t>930E</t>
        </is>
      </c>
      <c r="L75" s="4">
        <f>$D75*IF($I75="AUD",Assumptions!$B$2,Assumptions!$B$3)*Assumptions!$B$4</f>
        <v/>
      </c>
      <c r="M75" s="4">
        <f>$E75*IF($I75="AUD",Assumptions!$B$2,Assumptions!$B$3)*Assumptions!$B$4</f>
        <v/>
      </c>
      <c r="N75" s="4">
        <f>$F75*IF($I75="AUD",Assumptions!$B$2,Assumptions!$B$3)*Assumptions!$B$4</f>
        <v/>
      </c>
    </row>
    <row r="76">
      <c r="A76" t="inlineStr">
        <is>
          <t>930 HPT MAX STD PO REFERENCE : 3014829263 , 3014829264,</t>
        </is>
      </c>
      <c r="B76" t="inlineStr">
        <is>
          <t>Austin Engineering Limited</t>
        </is>
      </c>
      <c r="C76" t="n">
        <v>5</v>
      </c>
      <c r="D76" s="2" t="n">
        <v>3073.81</v>
      </c>
      <c r="E76" s="2" t="n">
        <v>29832.6</v>
      </c>
      <c r="F76" s="2" t="n">
        <v>1469590</v>
      </c>
      <c r="G76" s="2" t="n">
        <v>152380</v>
      </c>
      <c r="H76" t="inlineStr">
        <is>
          <t>Australia</t>
        </is>
      </c>
      <c r="I76" t="inlineStr">
        <is>
          <t>AUD</t>
        </is>
      </c>
      <c r="J76" t="inlineStr">
        <is>
          <t>Komatsu</t>
        </is>
      </c>
      <c r="K76" t="inlineStr">
        <is>
          <t>930E</t>
        </is>
      </c>
      <c r="L76" s="4">
        <f>$D76*IF($I76="AUD",Assumptions!$B$2,Assumptions!$B$3)*Assumptions!$B$4</f>
        <v/>
      </c>
      <c r="M76" s="4">
        <f>$E76*IF($I76="AUD",Assumptions!$B$2,Assumptions!$B$3)*Assumptions!$B$4</f>
        <v/>
      </c>
      <c r="N76" s="4">
        <f>$F76*IF($I76="AUD",Assumptions!$B$2,Assumptions!$B$3)*Assumptions!$B$4</f>
        <v/>
      </c>
    </row>
    <row r="77">
      <c r="A77" t="inlineStr">
        <is>
          <t>NHL NTE-360 ULTIMA TRAY</t>
        </is>
      </c>
      <c r="B77" t="inlineStr">
        <is>
          <t>Austin Engineering Limited</t>
        </is>
      </c>
      <c r="C77" t="n">
        <v>1</v>
      </c>
      <c r="D77" s="2" t="n">
        <v>4627.01</v>
      </c>
      <c r="E77" s="2" t="n">
        <v>44907</v>
      </c>
      <c r="F77" s="2" t="n">
        <v>564479</v>
      </c>
      <c r="G77" s="2" t="n">
        <v>45507</v>
      </c>
      <c r="H77" t="inlineStr">
        <is>
          <t>Australia</t>
        </is>
      </c>
      <c r="I77" t="inlineStr">
        <is>
          <t>AUD</t>
        </is>
      </c>
      <c r="J77" t="inlineStr">
        <is>
          <t>NHL</t>
        </is>
      </c>
      <c r="K77" t="inlineStr">
        <is>
          <t>NTE360</t>
        </is>
      </c>
      <c r="L77" s="4">
        <f>$D77*IF($I77="AUD",Assumptions!$B$2,Assumptions!$B$3)*Assumptions!$B$4</f>
        <v/>
      </c>
      <c r="M77" s="4">
        <f>$E77*IF($I77="AUD",Assumptions!$B$2,Assumptions!$B$3)*Assumptions!$B$4</f>
        <v/>
      </c>
      <c r="N77" s="4">
        <f>$F77*IF($I77="AUD",Assumptions!$B$2,Assumptions!$B$3)*Assumptions!$B$4</f>
        <v/>
      </c>
    </row>
    <row r="78">
      <c r="A78" t="inlineStr">
        <is>
          <t>KOMATSU 830E-5 ULTIMA DUMP BODY C/W ACCESSORIES</t>
        </is>
      </c>
      <c r="B78" t="inlineStr">
        <is>
          <t>MRL Asset Management Pty Limited</t>
        </is>
      </c>
      <c r="C78" t="n">
        <v>8</v>
      </c>
      <c r="D78" s="2" t="n">
        <v>5213.65</v>
      </c>
      <c r="E78" s="2" t="n">
        <v>50600.6</v>
      </c>
      <c r="F78" s="2" t="n">
        <v>2492640</v>
      </c>
      <c r="G78" s="2" t="n">
        <v>255288</v>
      </c>
      <c r="H78" t="inlineStr">
        <is>
          <t>Australia</t>
        </is>
      </c>
      <c r="I78" t="inlineStr">
        <is>
          <t>AUD</t>
        </is>
      </c>
      <c r="J78" t="inlineStr">
        <is>
          <t>Komatsu</t>
        </is>
      </c>
      <c r="K78" t="inlineStr">
        <is>
          <t>830E</t>
        </is>
      </c>
      <c r="L78" s="4">
        <f>$D78*IF($I78="AUD",Assumptions!$B$2,Assumptions!$B$3)*Assumptions!$B$4</f>
        <v/>
      </c>
      <c r="M78" s="4">
        <f>$E78*IF($I78="AUD",Assumptions!$B$2,Assumptions!$B$3)*Assumptions!$B$4</f>
        <v/>
      </c>
      <c r="N78" s="4">
        <f>$F78*IF($I78="AUD",Assumptions!$B$2,Assumptions!$B$3)*Assumptions!$B$4</f>
        <v/>
      </c>
    </row>
    <row r="79">
      <c r="A79" t="inlineStr">
        <is>
          <t>KOMATSU 930E HPT MAX MAX STD PO REFERENCE : 30142453</t>
        </is>
      </c>
      <c r="B79" t="inlineStr">
        <is>
          <t>Austin Engineering Limited</t>
        </is>
      </c>
      <c r="C79" t="n">
        <v>4</v>
      </c>
      <c r="D79" s="2" t="n">
        <v>2721.74</v>
      </c>
      <c r="E79" s="2" t="n">
        <v>26415.6</v>
      </c>
      <c r="F79" s="2" t="n">
        <v>1301260</v>
      </c>
      <c r="G79" s="2" t="n">
        <v>117904</v>
      </c>
      <c r="H79" t="inlineStr">
        <is>
          <t>Australia</t>
        </is>
      </c>
      <c r="I79" t="inlineStr">
        <is>
          <t>AUD</t>
        </is>
      </c>
      <c r="J79" t="inlineStr">
        <is>
          <t>Komatsu</t>
        </is>
      </c>
      <c r="K79" t="inlineStr">
        <is>
          <t>930E</t>
        </is>
      </c>
      <c r="L79" s="4">
        <f>$D79*IF($I79="AUD",Assumptions!$B$2,Assumptions!$B$3)*Assumptions!$B$4</f>
        <v/>
      </c>
      <c r="M79" s="4">
        <f>$E79*IF($I79="AUD",Assumptions!$B$2,Assumptions!$B$3)*Assumptions!$B$4</f>
        <v/>
      </c>
      <c r="N79" s="4">
        <f>$F79*IF($I79="AUD",Assumptions!$B$2,Assumptions!$B$3)*Assumptions!$B$4</f>
        <v/>
      </c>
    </row>
    <row r="80">
      <c r="A80" t="inlineStr">
        <is>
          <t>KOMATSU 830E HPT MAX STD .PO REFERENCE : 3014164920, 3</t>
        </is>
      </c>
      <c r="B80" t="inlineStr">
        <is>
          <t>Hamersley Iron Pty Limited</t>
        </is>
      </c>
      <c r="C80" t="n">
        <v>7</v>
      </c>
      <c r="D80" s="2" t="n">
        <v>2612.01</v>
      </c>
      <c r="E80" s="2" t="n">
        <v>25350.6</v>
      </c>
      <c r="F80" s="2" t="n">
        <v>1248800</v>
      </c>
      <c r="G80" s="2" t="n">
        <v>182623</v>
      </c>
      <c r="H80" t="inlineStr">
        <is>
          <t>Australia</t>
        </is>
      </c>
      <c r="I80" t="inlineStr">
        <is>
          <t>AUD</t>
        </is>
      </c>
      <c r="J80" t="inlineStr">
        <is>
          <t>Komatsu</t>
        </is>
      </c>
      <c r="K80" t="inlineStr">
        <is>
          <t>830E</t>
        </is>
      </c>
      <c r="L80" s="4">
        <f>$D80*IF($I80="AUD",Assumptions!$B$2,Assumptions!$B$3)*Assumptions!$B$4</f>
        <v/>
      </c>
      <c r="M80" s="4">
        <f>$E80*IF($I80="AUD",Assumptions!$B$2,Assumptions!$B$3)*Assumptions!$B$4</f>
        <v/>
      </c>
      <c r="N80" s="4">
        <f>$F80*IF($I80="AUD",Assumptions!$B$2,Assumptions!$B$3)*Assumptions!$B$4</f>
        <v/>
      </c>
    </row>
    <row r="81">
      <c r="A81" t="inlineStr">
        <is>
          <t>KOMATSU 930E-4SE ULTIMA</t>
        </is>
      </c>
      <c r="B81" t="inlineStr">
        <is>
          <t>Austin Engineering Limited</t>
        </is>
      </c>
      <c r="C81" t="n">
        <v>1</v>
      </c>
      <c r="D81" s="2" t="n">
        <v>3935.71</v>
      </c>
      <c r="E81" s="2" t="n">
        <v>38197.7</v>
      </c>
      <c r="F81" s="2" t="n">
        <v>494576</v>
      </c>
      <c r="G81" s="2" t="n">
        <v>70912</v>
      </c>
      <c r="H81" t="inlineStr">
        <is>
          <t>Australia</t>
        </is>
      </c>
      <c r="I81" t="inlineStr">
        <is>
          <t>AUD</t>
        </is>
      </c>
      <c r="J81" t="inlineStr">
        <is>
          <t>Komatsu</t>
        </is>
      </c>
      <c r="K81" t="inlineStr">
        <is>
          <t>930E</t>
        </is>
      </c>
      <c r="L81" s="4">
        <f>$D81*IF($I81="AUD",Assumptions!$B$2,Assumptions!$B$3)*Assumptions!$B$4</f>
        <v/>
      </c>
      <c r="M81" s="4">
        <f>$E81*IF($I81="AUD",Assumptions!$B$2,Assumptions!$B$3)*Assumptions!$B$4</f>
        <v/>
      </c>
      <c r="N81" s="4">
        <f>$F81*IF($I81="AUD",Assumptions!$B$2,Assumptions!$B$3)*Assumptions!$B$4</f>
        <v/>
      </c>
    </row>
    <row r="82">
      <c r="A82" t="inlineStr">
        <is>
          <t>KOMATSU 830E-HPT MAX STD C/W ACCESSORIES PO REFEREN</t>
        </is>
      </c>
      <c r="B82" t="inlineStr">
        <is>
          <t>Austin Engineering Limited</t>
        </is>
      </c>
      <c r="C82" t="n">
        <v>7</v>
      </c>
      <c r="D82" s="2" t="n">
        <v>7377.39</v>
      </c>
      <c r="E82" s="2" t="n">
        <v>71600.7</v>
      </c>
      <c r="F82" s="2" t="n">
        <v>2057540</v>
      </c>
      <c r="G82" s="2" t="n">
        <v>186648</v>
      </c>
      <c r="H82" t="inlineStr">
        <is>
          <t>Australia</t>
        </is>
      </c>
      <c r="I82" t="inlineStr">
        <is>
          <t>AUD</t>
        </is>
      </c>
      <c r="J82" t="inlineStr">
        <is>
          <t>Komatsu</t>
        </is>
      </c>
      <c r="K82" t="inlineStr">
        <is>
          <t>830E</t>
        </is>
      </c>
      <c r="L82" s="4">
        <f>$D82*IF($I82="AUD",Assumptions!$B$2,Assumptions!$B$3)*Assumptions!$B$4</f>
        <v/>
      </c>
      <c r="M82" s="4">
        <f>$E82*IF($I82="AUD",Assumptions!$B$2,Assumptions!$B$3)*Assumptions!$B$4</f>
        <v/>
      </c>
      <c r="N82" s="4">
        <f>$F82*IF($I82="AUD",Assumptions!$B$2,Assumptions!$B$3)*Assumptions!$B$4</f>
        <v/>
      </c>
    </row>
    <row r="83">
      <c r="A83" t="inlineStr">
        <is>
          <t>930 HPT MAX STD PO REFERENCE : 3014829245 , 3014829250,</t>
        </is>
      </c>
      <c r="B83" t="inlineStr">
        <is>
          <t>Austin Engineering Limited</t>
        </is>
      </c>
      <c r="C83" t="n">
        <v>5</v>
      </c>
      <c r="D83" s="2" t="n">
        <v>7377.39</v>
      </c>
      <c r="E83" s="2" t="n">
        <v>71600.7</v>
      </c>
      <c r="F83" s="2" t="n">
        <v>1469590</v>
      </c>
      <c r="G83" s="2" t="n">
        <v>152380</v>
      </c>
      <c r="H83" t="inlineStr">
        <is>
          <t>Australia</t>
        </is>
      </c>
      <c r="I83" t="inlineStr">
        <is>
          <t>AUD</t>
        </is>
      </c>
      <c r="J83" t="inlineStr">
        <is>
          <t>Komatsu</t>
        </is>
      </c>
      <c r="K83" t="inlineStr">
        <is>
          <t>930E</t>
        </is>
      </c>
      <c r="L83" s="4">
        <f>$D83*IF($I83="AUD",Assumptions!$B$2,Assumptions!$B$3)*Assumptions!$B$4</f>
        <v/>
      </c>
      <c r="M83" s="4">
        <f>$E83*IF($I83="AUD",Assumptions!$B$2,Assumptions!$B$3)*Assumptions!$B$4</f>
        <v/>
      </c>
      <c r="N83" s="4">
        <f>$F83*IF($I83="AUD",Assumptions!$B$2,Assumptions!$B$3)*Assumptions!$B$4</f>
        <v/>
      </c>
    </row>
    <row r="84">
      <c r="A84" t="inlineStr">
        <is>
          <t>10013 HITACHI EH4000 AC3 ULTIMA ANTI CARRY BACK TRAYS</t>
        </is>
      </c>
      <c r="B84" t="inlineStr">
        <is>
          <t>Austin Engineering Limited</t>
        </is>
      </c>
      <c r="C84" t="n">
        <v>2</v>
      </c>
      <c r="D84" s="2" t="n">
        <v>1510.22</v>
      </c>
      <c r="E84" s="2" t="n">
        <v>14657.3</v>
      </c>
      <c r="F84" s="2" t="n">
        <v>722034</v>
      </c>
      <c r="G84" s="2" t="n">
        <v>62800</v>
      </c>
      <c r="H84" t="inlineStr">
        <is>
          <t>Australia</t>
        </is>
      </c>
      <c r="I84" t="inlineStr">
        <is>
          <t>AUD</t>
        </is>
      </c>
      <c r="J84" t="inlineStr">
        <is>
          <t>Hitachi</t>
        </is>
      </c>
      <c r="K84" t="inlineStr">
        <is>
          <t>EH4000AC-3</t>
        </is>
      </c>
      <c r="L84" s="4">
        <f>$D84*IF($I84="AUD",Assumptions!$B$2,Assumptions!$B$3)*Assumptions!$B$4</f>
        <v/>
      </c>
      <c r="M84" s="4">
        <f>$E84*IF($I84="AUD",Assumptions!$B$2,Assumptions!$B$3)*Assumptions!$B$4</f>
        <v/>
      </c>
      <c r="N84" s="4">
        <f>$F84*IF($I84="AUD",Assumptions!$B$2,Assumptions!$B$3)*Assumptions!$B$4</f>
        <v/>
      </c>
    </row>
    <row r="85">
      <c r="A85" t="inlineStr">
        <is>
          <t>KOMATSU HPT HD830-5 C/W ACCESSORIES PO REFERENCE : 3</t>
        </is>
      </c>
      <c r="B85" t="inlineStr">
        <is>
          <t>Austin Engineering Limited</t>
        </is>
      </c>
      <c r="C85" t="n">
        <v>1</v>
      </c>
      <c r="D85" s="2" t="n">
        <v>1339.41</v>
      </c>
      <c r="E85" s="2" t="n">
        <v>12999.5</v>
      </c>
      <c r="F85" s="2" t="n">
        <v>318121</v>
      </c>
      <c r="G85" s="2" t="n">
        <v>32000</v>
      </c>
      <c r="H85" t="inlineStr">
        <is>
          <t>Australia</t>
        </is>
      </c>
      <c r="I85" t="inlineStr">
        <is>
          <t>AUD</t>
        </is>
      </c>
      <c r="J85" t="inlineStr">
        <is>
          <t>Komatsu</t>
        </is>
      </c>
      <c r="K85" t="inlineStr">
        <is>
          <t>830E</t>
        </is>
      </c>
      <c r="L85" s="4">
        <f>$D85*IF($I85="AUD",Assumptions!$B$2,Assumptions!$B$3)*Assumptions!$B$4</f>
        <v/>
      </c>
      <c r="M85" s="4">
        <f>$E85*IF($I85="AUD",Assumptions!$B$2,Assumptions!$B$3)*Assumptions!$B$4</f>
        <v/>
      </c>
      <c r="N85" s="4">
        <f>$F85*IF($I85="AUD",Assumptions!$B$2,Assumptions!$B$3)*Assumptions!$B$4</f>
        <v/>
      </c>
    </row>
    <row r="86">
      <c r="A86" t="inlineStr">
        <is>
          <t>KOMATSU HPT HD830-5 C/W ACCESSORIES PO REFERENCE : 3</t>
        </is>
      </c>
      <c r="B86" t="inlineStr">
        <is>
          <t>Austin Engineering Limited</t>
        </is>
      </c>
      <c r="C86" t="n">
        <v>1</v>
      </c>
      <c r="D86" s="2" t="n">
        <v>1339.41</v>
      </c>
      <c r="E86" s="2" t="n">
        <v>12999.5</v>
      </c>
      <c r="F86" s="2" t="n">
        <v>322248</v>
      </c>
      <c r="G86" s="2" t="n">
        <v>32000</v>
      </c>
      <c r="H86" t="inlineStr">
        <is>
          <t>Australia</t>
        </is>
      </c>
      <c r="I86" t="inlineStr">
        <is>
          <t>AUD</t>
        </is>
      </c>
      <c r="J86" t="inlineStr">
        <is>
          <t>Komatsu</t>
        </is>
      </c>
      <c r="K86" t="inlineStr">
        <is>
          <t>830E</t>
        </is>
      </c>
      <c r="L86" s="4">
        <f>$D86*IF($I86="AUD",Assumptions!$B$2,Assumptions!$B$3)*Assumptions!$B$4</f>
        <v/>
      </c>
      <c r="M86" s="4">
        <f>$E86*IF($I86="AUD",Assumptions!$B$2,Assumptions!$B$3)*Assumptions!$B$4</f>
        <v/>
      </c>
      <c r="N86" s="4">
        <f>$F86*IF($I86="AUD",Assumptions!$B$2,Assumptions!$B$3)*Assumptions!$B$4</f>
        <v/>
      </c>
    </row>
    <row r="87">
      <c r="A87" t="inlineStr">
        <is>
          <t>KOMATSU HD830E - HPT MAX STD C/W ACCESSORIES PO REFE</t>
        </is>
      </c>
      <c r="B87" t="inlineStr">
        <is>
          <t>Austin Engineering Limited</t>
        </is>
      </c>
      <c r="C87" t="n">
        <v>3</v>
      </c>
      <c r="D87" s="2" t="n">
        <v>1119.43</v>
      </c>
      <c r="E87" s="2" t="n">
        <v>10864.6</v>
      </c>
      <c r="F87" s="2" t="n">
        <v>535200</v>
      </c>
      <c r="G87" s="2" t="n">
        <v>79992</v>
      </c>
      <c r="H87" t="inlineStr">
        <is>
          <t>Australia</t>
        </is>
      </c>
      <c r="I87" t="inlineStr">
        <is>
          <t>AUD</t>
        </is>
      </c>
      <c r="J87" t="inlineStr">
        <is>
          <t>Komatsu</t>
        </is>
      </c>
      <c r="K87" t="inlineStr">
        <is>
          <t>830E</t>
        </is>
      </c>
      <c r="L87" s="4">
        <f>$D87*IF($I87="AUD",Assumptions!$B$2,Assumptions!$B$3)*Assumptions!$B$4</f>
        <v/>
      </c>
      <c r="M87" s="4">
        <f>$E87*IF($I87="AUD",Assumptions!$B$2,Assumptions!$B$3)*Assumptions!$B$4</f>
        <v/>
      </c>
      <c r="N87" s="4">
        <f>$F87*IF($I87="AUD",Assumptions!$B$2,Assumptions!$B$3)*Assumptions!$B$4</f>
        <v/>
      </c>
    </row>
    <row r="88">
      <c r="A88" t="inlineStr">
        <is>
          <t>KOMATSU HPT HD830-5 C/W ACCESSORIES PO REFERENCE : 3</t>
        </is>
      </c>
      <c r="B88" t="inlineStr">
        <is>
          <t>Austin Engineering Limited</t>
        </is>
      </c>
      <c r="C88" t="n">
        <v>2</v>
      </c>
      <c r="D88" s="2" t="n">
        <v>3071.53</v>
      </c>
      <c r="E88" s="2" t="n">
        <v>29810.5</v>
      </c>
      <c r="F88" s="2" t="n">
        <v>636243</v>
      </c>
      <c r="G88" s="2" t="n">
        <v>64000</v>
      </c>
      <c r="H88" t="inlineStr">
        <is>
          <t>Australia</t>
        </is>
      </c>
      <c r="I88" t="inlineStr">
        <is>
          <t>AUD</t>
        </is>
      </c>
      <c r="J88" t="inlineStr">
        <is>
          <t>Komatsu</t>
        </is>
      </c>
      <c r="K88" t="inlineStr">
        <is>
          <t>830E</t>
        </is>
      </c>
      <c r="L88" s="4">
        <f>$D88*IF($I88="AUD",Assumptions!$B$2,Assumptions!$B$3)*Assumptions!$B$4</f>
        <v/>
      </c>
      <c r="M88" s="4">
        <f>$E88*IF($I88="AUD",Assumptions!$B$2,Assumptions!$B$3)*Assumptions!$B$4</f>
        <v/>
      </c>
      <c r="N88" s="4">
        <f>$F88*IF($I88="AUD",Assumptions!$B$2,Assumptions!$B$3)*Assumptions!$B$4</f>
        <v/>
      </c>
    </row>
    <row r="89">
      <c r="A89" t="inlineStr">
        <is>
          <t>KOMATSU 830E HPT MAX STD C/W ACCESSORIESS PO REFERE</t>
        </is>
      </c>
      <c r="B89" t="inlineStr">
        <is>
          <t>Austin Engineering Limited</t>
        </is>
      </c>
      <c r="C89" t="n">
        <v>3</v>
      </c>
      <c r="D89" s="2" t="n">
        <v>3071.53</v>
      </c>
      <c r="E89" s="2" t="n">
        <v>29810.5</v>
      </c>
      <c r="F89" s="2" t="n">
        <v>832256</v>
      </c>
      <c r="G89" s="2" t="n">
        <v>79992</v>
      </c>
      <c r="H89" t="inlineStr">
        <is>
          <t>Australia</t>
        </is>
      </c>
      <c r="I89" t="inlineStr">
        <is>
          <t>AUD</t>
        </is>
      </c>
      <c r="J89" t="inlineStr">
        <is>
          <t>Komatsu</t>
        </is>
      </c>
      <c r="K89" t="inlineStr">
        <is>
          <t>830E</t>
        </is>
      </c>
      <c r="L89" s="4">
        <f>$D89*IF($I89="AUD",Assumptions!$B$2,Assumptions!$B$3)*Assumptions!$B$4</f>
        <v/>
      </c>
      <c r="M89" s="4">
        <f>$E89*IF($I89="AUD",Assumptions!$B$2,Assumptions!$B$3)*Assumptions!$B$4</f>
        <v/>
      </c>
      <c r="N89" s="4">
        <f>$F89*IF($I89="AUD",Assumptions!$B$2,Assumptions!$B$3)*Assumptions!$B$4</f>
        <v/>
      </c>
    </row>
    <row r="90">
      <c r="A90" t="inlineStr">
        <is>
          <t>KOMATSU HPT HD830-5 C/W ACCESSORIES PO REFERENCE : 3</t>
        </is>
      </c>
      <c r="B90" t="inlineStr">
        <is>
          <t>Austin Engineering Limited</t>
        </is>
      </c>
      <c r="C90" t="n">
        <v>2</v>
      </c>
      <c r="D90" s="2" t="n">
        <v>2720.25</v>
      </c>
      <c r="E90" s="2" t="n">
        <v>26401.1</v>
      </c>
      <c r="F90" s="2" t="n">
        <v>636243</v>
      </c>
      <c r="G90" s="2" t="n">
        <v>62200</v>
      </c>
      <c r="H90" t="inlineStr">
        <is>
          <t>Australia</t>
        </is>
      </c>
      <c r="I90" t="inlineStr">
        <is>
          <t>AUD</t>
        </is>
      </c>
      <c r="J90" t="inlineStr">
        <is>
          <t>Komatsu</t>
        </is>
      </c>
      <c r="K90" t="inlineStr">
        <is>
          <t>830E</t>
        </is>
      </c>
      <c r="L90" s="4">
        <f>$D90*IF($I90="AUD",Assumptions!$B$2,Assumptions!$B$3)*Assumptions!$B$4</f>
        <v/>
      </c>
      <c r="M90" s="4">
        <f>$E90*IF($I90="AUD",Assumptions!$B$2,Assumptions!$B$3)*Assumptions!$B$4</f>
        <v/>
      </c>
      <c r="N90" s="4">
        <f>$F90*IF($I90="AUD",Assumptions!$B$2,Assumptions!$B$3)*Assumptions!$B$4</f>
        <v/>
      </c>
    </row>
    <row r="91">
      <c r="A91" t="inlineStr">
        <is>
          <t>830E HPT MAX HD BODY C/W ACCESSORIESS PO REFERENCE :</t>
        </is>
      </c>
      <c r="B91" t="inlineStr">
        <is>
          <t>Austin Engineering Limited</t>
        </is>
      </c>
      <c r="C91" t="n">
        <v>2</v>
      </c>
      <c r="D91" s="2" t="n">
        <v>2720.25</v>
      </c>
      <c r="E91" s="2" t="n">
        <v>26401.1</v>
      </c>
      <c r="F91" s="2" t="n">
        <v>664305</v>
      </c>
      <c r="G91" s="2" t="n">
        <v>55800</v>
      </c>
      <c r="H91" t="inlineStr">
        <is>
          <t>Australia</t>
        </is>
      </c>
      <c r="I91" t="inlineStr">
        <is>
          <t>AUD</t>
        </is>
      </c>
      <c r="J91" t="inlineStr">
        <is>
          <t>Komatsu</t>
        </is>
      </c>
      <c r="K91" t="inlineStr">
        <is>
          <t>830E</t>
        </is>
      </c>
      <c r="L91" s="4">
        <f>$D91*IF($I91="AUD",Assumptions!$B$2,Assumptions!$B$3)*Assumptions!$B$4</f>
        <v/>
      </c>
      <c r="M91" s="4">
        <f>$E91*IF($I91="AUD",Assumptions!$B$2,Assumptions!$B$3)*Assumptions!$B$4</f>
        <v/>
      </c>
      <c r="N91" s="4">
        <f>$F91*IF($I91="AUD",Assumptions!$B$2,Assumptions!$B$3)*Assumptions!$B$4</f>
        <v/>
      </c>
    </row>
    <row r="92">
      <c r="A92" t="inlineStr">
        <is>
          <t>830E HPT MAX HD BODY C/W ACCESSORIES PO REFERENCE : 3</t>
        </is>
      </c>
      <c r="B92" t="inlineStr">
        <is>
          <t>Austin Engineering Limited</t>
        </is>
      </c>
      <c r="C92" t="n">
        <v>1</v>
      </c>
      <c r="D92" s="2" t="n">
        <v>6930.6</v>
      </c>
      <c r="E92" s="2" t="n">
        <v>67264.39999999999</v>
      </c>
      <c r="F92" s="2" t="n">
        <v>332153</v>
      </c>
      <c r="G92" s="2" t="n">
        <v>27900</v>
      </c>
      <c r="H92" t="inlineStr">
        <is>
          <t>Australia</t>
        </is>
      </c>
      <c r="I92" t="inlineStr">
        <is>
          <t>AUD</t>
        </is>
      </c>
      <c r="J92" t="inlineStr">
        <is>
          <t>Komatsu</t>
        </is>
      </c>
      <c r="K92" t="inlineStr">
        <is>
          <t>830E</t>
        </is>
      </c>
      <c r="L92" s="4">
        <f>$D92*IF($I92="AUD",Assumptions!$B$2,Assumptions!$B$3)*Assumptions!$B$4</f>
        <v/>
      </c>
      <c r="M92" s="4">
        <f>$E92*IF($I92="AUD",Assumptions!$B$2,Assumptions!$B$3)*Assumptions!$B$4</f>
        <v/>
      </c>
      <c r="N92" s="4">
        <f>$F92*IF($I92="AUD",Assumptions!$B$2,Assumptions!$B$3)*Assumptions!$B$4</f>
        <v/>
      </c>
    </row>
    <row r="93">
      <c r="A93" t="inlineStr">
        <is>
          <t>830E HPT MAX HD BODY C/W ACCESSORIES PO REFERENCE :</t>
        </is>
      </c>
      <c r="B93" t="inlineStr">
        <is>
          <t>Austin Engineering Limited</t>
        </is>
      </c>
      <c r="C93" t="n">
        <v>3</v>
      </c>
      <c r="D93" s="2" t="n">
        <v>6930.6</v>
      </c>
      <c r="E93" s="2" t="n">
        <v>67264.39999999999</v>
      </c>
      <c r="F93" s="2" t="n">
        <v>1008320</v>
      </c>
      <c r="G93" s="2" t="n">
        <v>83700</v>
      </c>
      <c r="H93" t="inlineStr">
        <is>
          <t>Australia</t>
        </is>
      </c>
      <c r="I93" t="inlineStr">
        <is>
          <t>AUD</t>
        </is>
      </c>
      <c r="J93" t="inlineStr">
        <is>
          <t>Komatsu</t>
        </is>
      </c>
      <c r="K93" t="inlineStr">
        <is>
          <t>830E</t>
        </is>
      </c>
      <c r="L93" s="4">
        <f>$D93*IF($I93="AUD",Assumptions!$B$2,Assumptions!$B$3)*Assumptions!$B$4</f>
        <v/>
      </c>
      <c r="M93" s="4">
        <f>$E93*IF($I93="AUD",Assumptions!$B$2,Assumptions!$B$3)*Assumptions!$B$4</f>
        <v/>
      </c>
      <c r="N93" s="4">
        <f>$F93*IF($I93="AUD",Assumptions!$B$2,Assumptions!$B$3)*Assumptions!$B$4</f>
        <v/>
      </c>
    </row>
    <row r="94">
      <c r="A94" t="inlineStr">
        <is>
          <t>KOMATSU 930E HPT MAX STD BODY C/W ACCESSORIES PO RE</t>
        </is>
      </c>
      <c r="B94" t="inlineStr">
        <is>
          <t>Austin Engineering Limited</t>
        </is>
      </c>
      <c r="C94" t="n">
        <v>5</v>
      </c>
      <c r="D94" s="2" t="n">
        <v>6930.6</v>
      </c>
      <c r="E94" s="2" t="n">
        <v>67264.39999999999</v>
      </c>
      <c r="F94" s="2" t="n">
        <v>1640920</v>
      </c>
      <c r="G94" s="2" t="n">
        <v>152380</v>
      </c>
      <c r="H94" t="inlineStr">
        <is>
          <t>Australia</t>
        </is>
      </c>
      <c r="I94" t="inlineStr">
        <is>
          <t>AUD</t>
        </is>
      </c>
      <c r="J94" t="inlineStr">
        <is>
          <t>Komatsu</t>
        </is>
      </c>
      <c r="K94" t="inlineStr">
        <is>
          <t>930E</t>
        </is>
      </c>
      <c r="L94" s="4">
        <f>$D94*IF($I94="AUD",Assumptions!$B$2,Assumptions!$B$3)*Assumptions!$B$4</f>
        <v/>
      </c>
      <c r="M94" s="4">
        <f>$E94*IF($I94="AUD",Assumptions!$B$2,Assumptions!$B$3)*Assumptions!$B$4</f>
        <v/>
      </c>
      <c r="N94" s="4">
        <f>$F94*IF($I94="AUD",Assumptions!$B$2,Assumptions!$B$3)*Assumptions!$B$4</f>
        <v/>
      </c>
    </row>
    <row r="95">
      <c r="A95" t="inlineStr">
        <is>
          <t>830E HPT MAX HD BODY C/W ACCESSORIES PO REFERENCE : 3</t>
        </is>
      </c>
      <c r="B95" t="inlineStr">
        <is>
          <t>Austin Engineering Limited</t>
        </is>
      </c>
      <c r="C95" t="n">
        <v>3</v>
      </c>
      <c r="D95" s="2" t="n">
        <v>6930.6</v>
      </c>
      <c r="E95" s="2" t="n">
        <v>67264.39999999999</v>
      </c>
      <c r="F95" s="2" t="n">
        <v>1008320</v>
      </c>
      <c r="G95" s="2" t="n">
        <v>83700</v>
      </c>
      <c r="H95" t="inlineStr">
        <is>
          <t>Australia</t>
        </is>
      </c>
      <c r="I95" t="inlineStr">
        <is>
          <t>AUD</t>
        </is>
      </c>
      <c r="J95" t="inlineStr">
        <is>
          <t>Komatsu</t>
        </is>
      </c>
      <c r="K95" t="inlineStr">
        <is>
          <t>830E</t>
        </is>
      </c>
      <c r="L95" s="4">
        <f>$D95*IF($I95="AUD",Assumptions!$B$2,Assumptions!$B$3)*Assumptions!$B$4</f>
        <v/>
      </c>
      <c r="M95" s="4">
        <f>$E95*IF($I95="AUD",Assumptions!$B$2,Assumptions!$B$3)*Assumptions!$B$4</f>
        <v/>
      </c>
      <c r="N95" s="4">
        <f>$F95*IF($I95="AUD",Assumptions!$B$2,Assumptions!$B$3)*Assumptions!$B$4</f>
        <v/>
      </c>
    </row>
    <row r="96">
      <c r="A96" t="inlineStr">
        <is>
          <t>KOMATSU 930E HPT MAX STD BODY C/W ACCESSORIES PO RE</t>
        </is>
      </c>
      <c r="B96" t="inlineStr">
        <is>
          <t>Austin Engineering Limited</t>
        </is>
      </c>
      <c r="C96" t="n">
        <v>2</v>
      </c>
      <c r="D96" s="2" t="n">
        <v>6930.6</v>
      </c>
      <c r="E96" s="2" t="n">
        <v>67264.39999999999</v>
      </c>
      <c r="F96" s="2" t="n">
        <v>664275</v>
      </c>
      <c r="G96" s="2" t="n">
        <v>60952</v>
      </c>
      <c r="H96" t="inlineStr">
        <is>
          <t>Australia</t>
        </is>
      </c>
      <c r="I96" t="inlineStr">
        <is>
          <t>AUD</t>
        </is>
      </c>
      <c r="J96" t="inlineStr">
        <is>
          <t>Komatsu</t>
        </is>
      </c>
      <c r="K96" t="inlineStr">
        <is>
          <t>930E</t>
        </is>
      </c>
      <c r="L96" s="4">
        <f>$D96*IF($I96="AUD",Assumptions!$B$2,Assumptions!$B$3)*Assumptions!$B$4</f>
        <v/>
      </c>
      <c r="M96" s="4">
        <f>$E96*IF($I96="AUD",Assumptions!$B$2,Assumptions!$B$3)*Assumptions!$B$4</f>
        <v/>
      </c>
      <c r="N96" s="4">
        <f>$F96*IF($I96="AUD",Assumptions!$B$2,Assumptions!$B$3)*Assumptions!$B$4</f>
        <v/>
      </c>
    </row>
    <row r="97">
      <c r="A97" t="inlineStr">
        <is>
          <t>793F HPT MAX STD C/W ACCESSORIES</t>
        </is>
      </c>
      <c r="B97" t="inlineStr">
        <is>
          <t>Pilbara Iron Company Services</t>
        </is>
      </c>
      <c r="C97" t="n">
        <v>5</v>
      </c>
      <c r="D97" s="2" t="n">
        <v>10365.7</v>
      </c>
      <c r="E97" s="2" t="n">
        <v>100604</v>
      </c>
      <c r="F97" s="2" t="n">
        <v>1638770</v>
      </c>
      <c r="G97" s="2" t="n">
        <v>129155</v>
      </c>
      <c r="H97" t="inlineStr">
        <is>
          <t>Australia</t>
        </is>
      </c>
      <c r="I97" t="inlineStr">
        <is>
          <t>AUD</t>
        </is>
      </c>
      <c r="J97" t="inlineStr">
        <is>
          <t>Caterpillar</t>
        </is>
      </c>
      <c r="K97" t="inlineStr">
        <is>
          <t>793</t>
        </is>
      </c>
      <c r="L97" s="4">
        <f>$D97*IF($I97="AUD",Assumptions!$B$2,Assumptions!$B$3)*Assumptions!$B$4</f>
        <v/>
      </c>
      <c r="M97" s="4">
        <f>$E97*IF($I97="AUD",Assumptions!$B$2,Assumptions!$B$3)*Assumptions!$B$4</f>
        <v/>
      </c>
      <c r="N97" s="4">
        <f>$F97*IF($I97="AUD",Assumptions!$B$2,Assumptions!$B$3)*Assumptions!$B$4</f>
        <v/>
      </c>
    </row>
    <row r="98">
      <c r="A98" t="inlineStr">
        <is>
          <t>793F HPT MAX STD C/W ACCESSORIES AND DYNEMA STRAPS</t>
        </is>
      </c>
      <c r="B98" t="inlineStr">
        <is>
          <t>Pilbara Iron Company Services</t>
        </is>
      </c>
      <c r="C98" t="n">
        <v>10</v>
      </c>
      <c r="D98" s="2" t="n">
        <v>10365.7</v>
      </c>
      <c r="E98" s="2" t="n">
        <v>100604</v>
      </c>
      <c r="F98" s="2" t="n">
        <v>3317080</v>
      </c>
      <c r="G98" s="2" t="n">
        <v>258310</v>
      </c>
      <c r="H98" t="inlineStr">
        <is>
          <t>Australia</t>
        </is>
      </c>
      <c r="I98" t="inlineStr">
        <is>
          <t>AUD</t>
        </is>
      </c>
      <c r="J98" t="inlineStr">
        <is>
          <t>Caterpillar</t>
        </is>
      </c>
      <c r="K98" t="inlineStr">
        <is>
          <t>793</t>
        </is>
      </c>
      <c r="L98" s="4">
        <f>$D98*IF($I98="AUD",Assumptions!$B$2,Assumptions!$B$3)*Assumptions!$B$4</f>
        <v/>
      </c>
      <c r="M98" s="4">
        <f>$E98*IF($I98="AUD",Assumptions!$B$2,Assumptions!$B$3)*Assumptions!$B$4</f>
        <v/>
      </c>
      <c r="N98" s="4">
        <f>$F98*IF($I98="AUD",Assumptions!$B$2,Assumptions!$B$3)*Assumptions!$B$4</f>
        <v/>
      </c>
    </row>
    <row r="99">
      <c r="A99" t="inlineStr">
        <is>
          <t>KOMATSU 930E HPT MAX STD BODY C/W ACCESSORIES PO RE</t>
        </is>
      </c>
      <c r="B99" t="inlineStr">
        <is>
          <t>Austin Engineering Limited</t>
        </is>
      </c>
      <c r="C99" t="n">
        <v>2</v>
      </c>
      <c r="D99" s="2" t="n">
        <v>3627.62</v>
      </c>
      <c r="E99" s="2" t="n">
        <v>35207.6</v>
      </c>
      <c r="F99" s="2" t="n">
        <v>664275</v>
      </c>
      <c r="G99" s="2" t="n">
        <v>60952</v>
      </c>
      <c r="H99" t="inlineStr">
        <is>
          <t>Australia</t>
        </is>
      </c>
      <c r="I99" t="inlineStr">
        <is>
          <t>AUD</t>
        </is>
      </c>
      <c r="J99" t="inlineStr">
        <is>
          <t>Komatsu</t>
        </is>
      </c>
      <c r="K99" t="inlineStr">
        <is>
          <t>930E</t>
        </is>
      </c>
      <c r="L99" s="4">
        <f>$D99*IF($I99="AUD",Assumptions!$B$2,Assumptions!$B$3)*Assumptions!$B$4</f>
        <v/>
      </c>
      <c r="M99" s="4">
        <f>$E99*IF($I99="AUD",Assumptions!$B$2,Assumptions!$B$3)*Assumptions!$B$4</f>
        <v/>
      </c>
      <c r="N99" s="4">
        <f>$F99*IF($I99="AUD",Assumptions!$B$2,Assumptions!$B$3)*Assumptions!$B$4</f>
        <v/>
      </c>
    </row>
    <row r="100">
      <c r="A100" t="inlineStr">
        <is>
          <t>793E HPT MAX MAX STD C/W ACCESSORIES PO REFERENCE : 3</t>
        </is>
      </c>
      <c r="B100" t="inlineStr">
        <is>
          <t>Austin Engineering Limited</t>
        </is>
      </c>
      <c r="C100" t="n">
        <v>3</v>
      </c>
      <c r="D100" s="2" t="n">
        <v>3627.62</v>
      </c>
      <c r="E100" s="2" t="n">
        <v>35207.6</v>
      </c>
      <c r="F100" s="2" t="n">
        <v>1070090</v>
      </c>
      <c r="G100" s="2" t="n">
        <v>77493</v>
      </c>
      <c r="H100" t="inlineStr">
        <is>
          <t>Australia</t>
        </is>
      </c>
      <c r="I100" t="inlineStr">
        <is>
          <t>AUD</t>
        </is>
      </c>
      <c r="J100" t="inlineStr">
        <is>
          <t>Caterpillar</t>
        </is>
      </c>
      <c r="K100" t="inlineStr">
        <is>
          <t>793</t>
        </is>
      </c>
      <c r="L100" s="4">
        <f>$D100*IF($I100="AUD",Assumptions!$B$2,Assumptions!$B$3)*Assumptions!$B$4</f>
        <v/>
      </c>
      <c r="M100" s="4">
        <f>$E100*IF($I100="AUD",Assumptions!$B$2,Assumptions!$B$3)*Assumptions!$B$4</f>
        <v/>
      </c>
      <c r="N100" s="4">
        <f>$F100*IF($I100="AUD",Assumptions!$B$2,Assumptions!$B$3)*Assumptions!$B$4</f>
        <v/>
      </c>
    </row>
    <row r="101">
      <c r="A101" t="inlineStr">
        <is>
          <t>CAT 795F ULTIMA BODY</t>
        </is>
      </c>
      <c r="B101" t="inlineStr">
        <is>
          <t>Austin Engineering Limited</t>
        </is>
      </c>
      <c r="C101" t="n">
        <v>3</v>
      </c>
      <c r="D101" s="2" t="n">
        <v>4627.01</v>
      </c>
      <c r="E101" s="2" t="n">
        <v>44907</v>
      </c>
      <c r="F101" s="2" t="n">
        <v>1647690</v>
      </c>
      <c r="G101" s="2" t="n">
        <v>130206</v>
      </c>
      <c r="H101" t="inlineStr">
        <is>
          <t>Australia</t>
        </is>
      </c>
      <c r="I101" t="inlineStr">
        <is>
          <t>AUD</t>
        </is>
      </c>
      <c r="J101" t="inlineStr">
        <is>
          <t>Caterpillar</t>
        </is>
      </c>
      <c r="K101" t="inlineStr">
        <is>
          <t>795</t>
        </is>
      </c>
      <c r="L101" s="4">
        <f>$D101*IF($I101="AUD",Assumptions!$B$2,Assumptions!$B$3)*Assumptions!$B$4</f>
        <v/>
      </c>
      <c r="M101" s="4">
        <f>$E101*IF($I101="AUD",Assumptions!$B$2,Assumptions!$B$3)*Assumptions!$B$4</f>
        <v/>
      </c>
      <c r="N101" s="4">
        <f>$F101*IF($I101="AUD",Assumptions!$B$2,Assumptions!$B$3)*Assumptions!$B$4</f>
        <v/>
      </c>
    </row>
    <row r="102">
      <c r="A102" t="inlineStr">
        <is>
          <t>KOMATSU 830 WESTECH TRUCK BODIES COMPONENTS</t>
        </is>
      </c>
      <c r="B102" t="inlineStr">
        <is>
          <t>Austin Engineering Limited</t>
        </is>
      </c>
      <c r="C102" t="n">
        <v>1</v>
      </c>
      <c r="D102" s="2" t="n">
        <v>303.37</v>
      </c>
      <c r="E102" s="2" t="n">
        <v>2944.36</v>
      </c>
      <c r="F102" s="2" t="n">
        <v>145042</v>
      </c>
      <c r="G102" s="2" t="n">
        <v>24000</v>
      </c>
      <c r="H102" t="inlineStr">
        <is>
          <t>Australia</t>
        </is>
      </c>
      <c r="I102" t="inlineStr">
        <is>
          <t>AUD</t>
        </is>
      </c>
      <c r="J102" t="inlineStr">
        <is>
          <t>Komatsu</t>
        </is>
      </c>
      <c r="K102" t="inlineStr">
        <is>
          <t>830E</t>
        </is>
      </c>
      <c r="L102" s="4">
        <f>$D102*IF($I102="AUD",Assumptions!$B$2,Assumptions!$B$3)*Assumptions!$B$4</f>
        <v/>
      </c>
      <c r="M102" s="4">
        <f>$E102*IF($I102="AUD",Assumptions!$B$2,Assumptions!$B$3)*Assumptions!$B$4</f>
        <v/>
      </c>
      <c r="N102" s="4">
        <f>$F102*IF($I102="AUD",Assumptions!$B$2,Assumptions!$B$3)*Assumptions!$B$4</f>
        <v/>
      </c>
    </row>
    <row r="103">
      <c r="A103" t="inlineStr">
        <is>
          <t>KOMATSU 830 ULTIMA TRUCK BODIES COMPONENTS</t>
        </is>
      </c>
      <c r="B103" t="inlineStr">
        <is>
          <t>Austin Engineering Limited</t>
        </is>
      </c>
      <c r="C103" t="n">
        <v>3</v>
      </c>
      <c r="D103" s="2" t="n">
        <v>612.11</v>
      </c>
      <c r="E103" s="2" t="n">
        <v>5940.8</v>
      </c>
      <c r="F103" s="2" t="n">
        <v>292650</v>
      </c>
      <c r="G103" s="2" t="n">
        <v>46500</v>
      </c>
      <c r="H103" t="inlineStr">
        <is>
          <t>Australia</t>
        </is>
      </c>
      <c r="I103" t="inlineStr">
        <is>
          <t>AUD</t>
        </is>
      </c>
      <c r="J103" t="inlineStr">
        <is>
          <t>Komatsu</t>
        </is>
      </c>
      <c r="K103" t="inlineStr">
        <is>
          <t>830E</t>
        </is>
      </c>
      <c r="L103" s="4">
        <f>$D103*IF($I103="AUD",Assumptions!$B$2,Assumptions!$B$3)*Assumptions!$B$4</f>
        <v/>
      </c>
      <c r="M103" s="4">
        <f>$E103*IF($I103="AUD",Assumptions!$B$2,Assumptions!$B$3)*Assumptions!$B$4</f>
        <v/>
      </c>
      <c r="N103" s="4">
        <f>$F103*IF($I103="AUD",Assumptions!$B$2,Assumptions!$B$3)*Assumptions!$B$4</f>
        <v/>
      </c>
    </row>
    <row r="104">
      <c r="A104" t="inlineStr">
        <is>
          <t>KOMATSU 830 WESTECH TRUCK BODIES COMPONENTS</t>
        </is>
      </c>
      <c r="B104" t="inlineStr">
        <is>
          <t>Austin Engineering Limited</t>
        </is>
      </c>
      <c r="C104" t="n">
        <v>1</v>
      </c>
      <c r="D104" s="2" t="n">
        <v>303.37</v>
      </c>
      <c r="E104" s="2" t="n">
        <v>2944.36</v>
      </c>
      <c r="F104" s="2" t="n">
        <v>145042</v>
      </c>
      <c r="G104" s="2" t="n">
        <v>24000</v>
      </c>
      <c r="H104" t="inlineStr">
        <is>
          <t>Australia</t>
        </is>
      </c>
      <c r="I104" t="inlineStr">
        <is>
          <t>AUD</t>
        </is>
      </c>
      <c r="J104" t="inlineStr">
        <is>
          <t>Komatsu</t>
        </is>
      </c>
      <c r="K104" t="inlineStr">
        <is>
          <t>830E</t>
        </is>
      </c>
      <c r="L104" s="4">
        <f>$D104*IF($I104="AUD",Assumptions!$B$2,Assumptions!$B$3)*Assumptions!$B$4</f>
        <v/>
      </c>
      <c r="M104" s="4">
        <f>$E104*IF($I104="AUD",Assumptions!$B$2,Assumptions!$B$3)*Assumptions!$B$4</f>
        <v/>
      </c>
      <c r="N104" s="4">
        <f>$F104*IF($I104="AUD",Assumptions!$B$2,Assumptions!$B$3)*Assumptions!$B$4</f>
        <v/>
      </c>
    </row>
    <row r="105">
      <c r="A105" t="inlineStr">
        <is>
          <t>KOMATSU 830 WESTECH TRUCK BODIES COMPONENTS</t>
        </is>
      </c>
      <c r="B105" t="inlineStr">
        <is>
          <t>Austin Engineering Limited</t>
        </is>
      </c>
      <c r="C105" t="n">
        <v>1</v>
      </c>
      <c r="D105" s="2" t="n">
        <v>303.37</v>
      </c>
      <c r="E105" s="2" t="n">
        <v>2944.36</v>
      </c>
      <c r="F105" s="2" t="n">
        <v>145042</v>
      </c>
      <c r="G105" s="2" t="n">
        <v>24000</v>
      </c>
      <c r="H105" t="inlineStr">
        <is>
          <t>Australia</t>
        </is>
      </c>
      <c r="I105" t="inlineStr">
        <is>
          <t>AUD</t>
        </is>
      </c>
      <c r="J105" t="inlineStr">
        <is>
          <t>Komatsu</t>
        </is>
      </c>
      <c r="K105" t="inlineStr">
        <is>
          <t>830E</t>
        </is>
      </c>
      <c r="L105" s="4">
        <f>$D105*IF($I105="AUD",Assumptions!$B$2,Assumptions!$B$3)*Assumptions!$B$4</f>
        <v/>
      </c>
      <c r="M105" s="4">
        <f>$E105*IF($I105="AUD",Assumptions!$B$2,Assumptions!$B$3)*Assumptions!$B$4</f>
        <v/>
      </c>
      <c r="N105" s="4">
        <f>$F105*IF($I105="AUD",Assumptions!$B$2,Assumptions!$B$3)*Assumptions!$B$4</f>
        <v/>
      </c>
    </row>
    <row r="106">
      <c r="A106" t="inlineStr">
        <is>
          <t>KOMATSU 830 ULTIMA TRUCK BODIES COMPONENTS</t>
        </is>
      </c>
      <c r="B106" t="inlineStr">
        <is>
          <t>Austin Engineering Limited</t>
        </is>
      </c>
      <c r="C106" t="n">
        <v>3</v>
      </c>
      <c r="D106" s="2" t="n">
        <v>612.11</v>
      </c>
      <c r="E106" s="2" t="n">
        <v>5940.8</v>
      </c>
      <c r="F106" s="2" t="n">
        <v>292650</v>
      </c>
      <c r="G106" s="2" t="n">
        <v>46500</v>
      </c>
      <c r="H106" t="inlineStr">
        <is>
          <t>Australia</t>
        </is>
      </c>
      <c r="I106" t="inlineStr">
        <is>
          <t>AUD</t>
        </is>
      </c>
      <c r="J106" t="inlineStr">
        <is>
          <t>Komatsu</t>
        </is>
      </c>
      <c r="K106" t="inlineStr">
        <is>
          <t>830E</t>
        </is>
      </c>
      <c r="L106" s="4">
        <f>$D106*IF($I106="AUD",Assumptions!$B$2,Assumptions!$B$3)*Assumptions!$B$4</f>
        <v/>
      </c>
      <c r="M106" s="4">
        <f>$E106*IF($I106="AUD",Assumptions!$B$2,Assumptions!$B$3)*Assumptions!$B$4</f>
        <v/>
      </c>
      <c r="N106" s="4">
        <f>$F106*IF($I106="AUD",Assumptions!$B$2,Assumptions!$B$3)*Assumptions!$B$4</f>
        <v/>
      </c>
    </row>
    <row r="107">
      <c r="A107" t="inlineStr">
        <is>
          <t>CAT 785 D FULL BODY</t>
        </is>
      </c>
      <c r="B107" t="inlineStr">
        <is>
          <t>Austin Engineering Limited</t>
        </is>
      </c>
      <c r="C107" t="n">
        <v>2</v>
      </c>
      <c r="D107" s="2" t="n">
        <v>994.77</v>
      </c>
      <c r="E107" s="2" t="n">
        <v>9654.68</v>
      </c>
      <c r="F107" s="2" t="n">
        <v>475600</v>
      </c>
      <c r="G107" s="2" t="n">
        <v>42100</v>
      </c>
      <c r="H107" t="inlineStr">
        <is>
          <t>Australia</t>
        </is>
      </c>
      <c r="I107" t="inlineStr">
        <is>
          <t>AUD</t>
        </is>
      </c>
      <c r="J107" t="inlineStr">
        <is>
          <t>Caterpillar</t>
        </is>
      </c>
      <c r="K107" t="inlineStr">
        <is>
          <t>785</t>
        </is>
      </c>
      <c r="L107" s="4">
        <f>$D107*IF($I107="AUD",Assumptions!$B$2,Assumptions!$B$3)*Assumptions!$B$4</f>
        <v/>
      </c>
      <c r="M107" s="4">
        <f>$E107*IF($I107="AUD",Assumptions!$B$2,Assumptions!$B$3)*Assumptions!$B$4</f>
        <v/>
      </c>
      <c r="N107" s="4">
        <f>$F107*IF($I107="AUD",Assumptions!$B$2,Assumptions!$B$3)*Assumptions!$B$4</f>
        <v/>
      </c>
    </row>
    <row r="108">
      <c r="A108" t="inlineStr">
        <is>
          <t>KOMATSU 830 ULTIMA TRUCK BODIES COMPONENTS</t>
        </is>
      </c>
      <c r="B108" t="inlineStr">
        <is>
          <t>Austin Engineering Limited</t>
        </is>
      </c>
      <c r="C108" t="n">
        <v>2</v>
      </c>
      <c r="D108" s="2" t="n">
        <v>408.07</v>
      </c>
      <c r="E108" s="2" t="n">
        <v>3960.53</v>
      </c>
      <c r="F108" s="2" t="n">
        <v>195100</v>
      </c>
      <c r="G108" s="2" t="n">
        <v>32000</v>
      </c>
      <c r="H108" t="inlineStr">
        <is>
          <t>Australia</t>
        </is>
      </c>
      <c r="I108" t="inlineStr">
        <is>
          <t>AUD</t>
        </is>
      </c>
      <c r="J108" t="inlineStr">
        <is>
          <t>Komatsu</t>
        </is>
      </c>
      <c r="K108" t="inlineStr">
        <is>
          <t>830E</t>
        </is>
      </c>
      <c r="L108" s="4">
        <f>$D108*IF($I108="AUD",Assumptions!$B$2,Assumptions!$B$3)*Assumptions!$B$4</f>
        <v/>
      </c>
      <c r="M108" s="4">
        <f>$E108*IF($I108="AUD",Assumptions!$B$2,Assumptions!$B$3)*Assumptions!$B$4</f>
        <v/>
      </c>
      <c r="N108" s="4">
        <f>$F108*IF($I108="AUD",Assumptions!$B$2,Assumptions!$B$3)*Assumptions!$B$4</f>
        <v/>
      </c>
    </row>
    <row r="109">
      <c r="A109" t="inlineStr">
        <is>
          <t>KOMATSU 830 WESTECH TRUCK BODIES COMPONENTS</t>
        </is>
      </c>
      <c r="B109" t="inlineStr">
        <is>
          <t>Austin Engineering Limited</t>
        </is>
      </c>
      <c r="C109" t="n">
        <v>1</v>
      </c>
      <c r="D109" s="2" t="n">
        <v>303.37</v>
      </c>
      <c r="E109" s="2" t="n">
        <v>2944.36</v>
      </c>
      <c r="F109" s="2" t="n">
        <v>145042</v>
      </c>
      <c r="G109" s="2" t="n">
        <v>24000</v>
      </c>
      <c r="H109" t="inlineStr">
        <is>
          <t>Australia</t>
        </is>
      </c>
      <c r="I109" t="inlineStr">
        <is>
          <t>AUD</t>
        </is>
      </c>
      <c r="J109" t="inlineStr">
        <is>
          <t>Komatsu</t>
        </is>
      </c>
      <c r="K109" t="inlineStr">
        <is>
          <t>830E</t>
        </is>
      </c>
      <c r="L109" s="4">
        <f>$D109*IF($I109="AUD",Assumptions!$B$2,Assumptions!$B$3)*Assumptions!$B$4</f>
        <v/>
      </c>
      <c r="M109" s="4">
        <f>$E109*IF($I109="AUD",Assumptions!$B$2,Assumptions!$B$3)*Assumptions!$B$4</f>
        <v/>
      </c>
      <c r="N109" s="4">
        <f>$F109*IF($I109="AUD",Assumptions!$B$2,Assumptions!$B$3)*Assumptions!$B$4</f>
        <v/>
      </c>
    </row>
    <row r="110">
      <c r="A110" t="inlineStr">
        <is>
          <t>KOMATSU 830 WESTECH TRUCK BODIES COMPONENTS</t>
        </is>
      </c>
      <c r="B110" t="inlineStr">
        <is>
          <t>Austin Engineering Limited</t>
        </is>
      </c>
      <c r="C110" t="n">
        <v>3</v>
      </c>
      <c r="D110" s="2" t="n">
        <v>612.11</v>
      </c>
      <c r="E110" s="2" t="n">
        <v>5940.8</v>
      </c>
      <c r="F110" s="2" t="n">
        <v>292650</v>
      </c>
      <c r="G110" s="2" t="n">
        <v>46500</v>
      </c>
      <c r="H110" t="inlineStr">
        <is>
          <t>Australia</t>
        </is>
      </c>
      <c r="I110" t="inlineStr">
        <is>
          <t>AUD</t>
        </is>
      </c>
      <c r="J110" t="inlineStr">
        <is>
          <t>Komatsu</t>
        </is>
      </c>
      <c r="K110" t="inlineStr">
        <is>
          <t>830E</t>
        </is>
      </c>
      <c r="L110" s="4">
        <f>$D110*IF($I110="AUD",Assumptions!$B$2,Assumptions!$B$3)*Assumptions!$B$4</f>
        <v/>
      </c>
      <c r="M110" s="4">
        <f>$E110*IF($I110="AUD",Assumptions!$B$2,Assumptions!$B$3)*Assumptions!$B$4</f>
        <v/>
      </c>
      <c r="N110" s="4">
        <f>$F110*IF($I110="AUD",Assumptions!$B$2,Assumptions!$B$3)*Assumptions!$B$4</f>
        <v/>
      </c>
    </row>
    <row r="111">
      <c r="A111" t="inlineStr">
        <is>
          <t>KOMATSU 830E-AC JEC</t>
        </is>
      </c>
      <c r="B111" t="inlineStr">
        <is>
          <t>Austin Engineering Limited</t>
        </is>
      </c>
      <c r="C111" t="n">
        <v>3</v>
      </c>
      <c r="D111" s="2" t="n">
        <v>3935.71</v>
      </c>
      <c r="E111" s="2" t="n">
        <v>38197.7</v>
      </c>
      <c r="F111" s="2" t="n">
        <v>1387090</v>
      </c>
      <c r="G111" s="2" t="n">
        <v>99420</v>
      </c>
      <c r="H111" t="inlineStr">
        <is>
          <t>Australia</t>
        </is>
      </c>
      <c r="I111" t="inlineStr">
        <is>
          <t>AUD</t>
        </is>
      </c>
      <c r="J111" t="inlineStr">
        <is>
          <t>Komatsu</t>
        </is>
      </c>
      <c r="K111" t="inlineStr">
        <is>
          <t>830E</t>
        </is>
      </c>
      <c r="L111" s="4">
        <f>$D111*IF($I111="AUD",Assumptions!$B$2,Assumptions!$B$3)*Assumptions!$B$4</f>
        <v/>
      </c>
      <c r="M111" s="4">
        <f>$E111*IF($I111="AUD",Assumptions!$B$2,Assumptions!$B$3)*Assumptions!$B$4</f>
        <v/>
      </c>
      <c r="N111" s="4">
        <f>$F111*IF($I111="AUD",Assumptions!$B$2,Assumptions!$B$3)*Assumptions!$B$4</f>
        <v/>
      </c>
    </row>
    <row r="112">
      <c r="A112" t="inlineStr">
        <is>
          <t>KOMATSU HPT HD830-5 C/W ACCESSORIES PO REFERENCE:30</t>
        </is>
      </c>
      <c r="B112" t="inlineStr">
        <is>
          <t>Austin Engineering Limited</t>
        </is>
      </c>
      <c r="C112" t="n">
        <v>6</v>
      </c>
      <c r="D112" s="2" t="n">
        <v>8212.530000000001</v>
      </c>
      <c r="E112" s="2" t="n">
        <v>79706.10000000001</v>
      </c>
      <c r="F112" s="2" t="n">
        <v>1933490</v>
      </c>
      <c r="G112" s="2" t="n">
        <v>199314</v>
      </c>
      <c r="H112" t="inlineStr">
        <is>
          <t>Australia</t>
        </is>
      </c>
      <c r="I112" t="inlineStr">
        <is>
          <t>AUD</t>
        </is>
      </c>
      <c r="J112" t="inlineStr">
        <is>
          <t>Komatsu</t>
        </is>
      </c>
      <c r="K112" t="inlineStr">
        <is>
          <t>830E</t>
        </is>
      </c>
      <c r="L112" s="4">
        <f>$D112*IF($I112="AUD",Assumptions!$B$2,Assumptions!$B$3)*Assumptions!$B$4</f>
        <v/>
      </c>
      <c r="M112" s="4">
        <f>$E112*IF($I112="AUD",Assumptions!$B$2,Assumptions!$B$3)*Assumptions!$B$4</f>
        <v/>
      </c>
      <c r="N112" s="4">
        <f>$F112*IF($I112="AUD",Assumptions!$B$2,Assumptions!$B$3)*Assumptions!$B$4</f>
        <v/>
      </c>
    </row>
    <row r="113">
      <c r="A113" t="inlineStr">
        <is>
          <t>KOMATSU 830E HPT MAX HD BODY C/W ACCESSORIES PO REF</t>
        </is>
      </c>
      <c r="B113" t="inlineStr">
        <is>
          <t>Austin Engineering Limited</t>
        </is>
      </c>
      <c r="C113" t="n">
        <v>6</v>
      </c>
      <c r="D113" s="2" t="n">
        <v>8212.530000000001</v>
      </c>
      <c r="E113" s="2" t="n">
        <v>79706.10000000001</v>
      </c>
      <c r="F113" s="2" t="n">
        <v>1992920</v>
      </c>
      <c r="G113" s="2" t="n">
        <v>166266</v>
      </c>
      <c r="H113" t="inlineStr">
        <is>
          <t>Australia</t>
        </is>
      </c>
      <c r="I113" t="inlineStr">
        <is>
          <t>AUD</t>
        </is>
      </c>
      <c r="J113" t="inlineStr">
        <is>
          <t>Komatsu</t>
        </is>
      </c>
      <c r="K113" t="inlineStr">
        <is>
          <t>830E</t>
        </is>
      </c>
      <c r="L113" s="4">
        <f>$D113*IF($I113="AUD",Assumptions!$B$2,Assumptions!$B$3)*Assumptions!$B$4</f>
        <v/>
      </c>
      <c r="M113" s="4">
        <f>$E113*IF($I113="AUD",Assumptions!$B$2,Assumptions!$B$3)*Assumptions!$B$4</f>
        <v/>
      </c>
      <c r="N113" s="4">
        <f>$F113*IF($I113="AUD",Assumptions!$B$2,Assumptions!$B$3)*Assumptions!$B$4</f>
        <v/>
      </c>
    </row>
    <row r="114">
      <c r="A114" t="inlineStr">
        <is>
          <t>KOMATSU 830E-5 ULTIMA DUMP BODY C/W ACCESSORIES</t>
        </is>
      </c>
      <c r="B114" t="inlineStr">
        <is>
          <t>MRL Asset Management Pty Limited</t>
        </is>
      </c>
      <c r="C114" t="n">
        <v>8</v>
      </c>
      <c r="D114" s="2" t="n">
        <v>5213.65</v>
      </c>
      <c r="E114" s="2" t="n">
        <v>50600.6</v>
      </c>
      <c r="F114" s="2" t="n">
        <v>2492640</v>
      </c>
      <c r="G114" s="2" t="n">
        <v>255288</v>
      </c>
      <c r="H114" t="inlineStr">
        <is>
          <t>Australia</t>
        </is>
      </c>
      <c r="I114" t="inlineStr">
        <is>
          <t>AUD</t>
        </is>
      </c>
      <c r="J114" t="inlineStr">
        <is>
          <t>Komatsu</t>
        </is>
      </c>
      <c r="K114" t="inlineStr">
        <is>
          <t>830E</t>
        </is>
      </c>
      <c r="L114" s="4">
        <f>$D114*IF($I114="AUD",Assumptions!$B$2,Assumptions!$B$3)*Assumptions!$B$4</f>
        <v/>
      </c>
      <c r="M114" s="4">
        <f>$E114*IF($I114="AUD",Assumptions!$B$2,Assumptions!$B$3)*Assumptions!$B$4</f>
        <v/>
      </c>
      <c r="N114" s="4">
        <f>$F114*IF($I114="AUD",Assumptions!$B$2,Assumptions!$B$3)*Assumptions!$B$4</f>
        <v/>
      </c>
    </row>
    <row r="115">
      <c r="A115" t="inlineStr">
        <is>
          <t>KOMATSU 830E HPT MAX STD PO REFERENCE: 3014164916,301</t>
        </is>
      </c>
      <c r="B115" t="inlineStr">
        <is>
          <t>Austin Engineering Limited</t>
        </is>
      </c>
      <c r="C115" t="n">
        <v>3</v>
      </c>
      <c r="D115" s="2" t="n">
        <v>3081.45</v>
      </c>
      <c r="E115" s="2" t="n">
        <v>29906.8</v>
      </c>
      <c r="F115" s="2" t="n">
        <v>535200</v>
      </c>
      <c r="G115" s="2" t="n">
        <v>78267</v>
      </c>
      <c r="H115" t="inlineStr">
        <is>
          <t>Australia</t>
        </is>
      </c>
      <c r="I115" t="inlineStr">
        <is>
          <t>AUD</t>
        </is>
      </c>
      <c r="J115" t="inlineStr">
        <is>
          <t>Komatsu</t>
        </is>
      </c>
      <c r="K115" t="inlineStr">
        <is>
          <t>830E</t>
        </is>
      </c>
      <c r="L115" s="4">
        <f>$D115*IF($I115="AUD",Assumptions!$B$2,Assumptions!$B$3)*Assumptions!$B$4</f>
        <v/>
      </c>
      <c r="M115" s="4">
        <f>$E115*IF($I115="AUD",Assumptions!$B$2,Assumptions!$B$3)*Assumptions!$B$4</f>
        <v/>
      </c>
      <c r="N115" s="4">
        <f>$F115*IF($I115="AUD",Assumptions!$B$2,Assumptions!$B$3)*Assumptions!$B$4</f>
        <v/>
      </c>
    </row>
    <row r="116">
      <c r="A116" t="inlineStr">
        <is>
          <t>KOMATSU 830E HPT MAX HD PO REFERENCE :3014092419,3014</t>
        </is>
      </c>
      <c r="B116" t="inlineStr">
        <is>
          <t>Austin Engineering Limited</t>
        </is>
      </c>
      <c r="C116" t="n">
        <v>3</v>
      </c>
      <c r="D116" s="2" t="n">
        <v>3081.45</v>
      </c>
      <c r="E116" s="2" t="n">
        <v>29906.8</v>
      </c>
      <c r="F116" s="2" t="n">
        <v>938040</v>
      </c>
      <c r="G116" s="2" t="n">
        <v>83133</v>
      </c>
      <c r="H116" t="inlineStr">
        <is>
          <t>Australia</t>
        </is>
      </c>
      <c r="I116" t="inlineStr">
        <is>
          <t>AUD</t>
        </is>
      </c>
      <c r="J116" t="inlineStr">
        <is>
          <t>Komatsu</t>
        </is>
      </c>
      <c r="K116" t="inlineStr">
        <is>
          <t>830E</t>
        </is>
      </c>
      <c r="L116" s="4">
        <f>$D116*IF($I116="AUD",Assumptions!$B$2,Assumptions!$B$3)*Assumptions!$B$4</f>
        <v/>
      </c>
      <c r="M116" s="4">
        <f>$E116*IF($I116="AUD",Assumptions!$B$2,Assumptions!$B$3)*Assumptions!$B$4</f>
        <v/>
      </c>
      <c r="N116" s="4">
        <f>$F116*IF($I116="AUD",Assumptions!$B$2,Assumptions!$B$3)*Assumptions!$B$4</f>
        <v/>
      </c>
    </row>
    <row r="117">
      <c r="A117" t="inlineStr">
        <is>
          <t>KOMATSU 930-5 ULTIMA BODY TRUCK</t>
        </is>
      </c>
      <c r="B117" t="inlineStr">
        <is>
          <t>Austin Engineering Limited</t>
        </is>
      </c>
      <c r="C117" t="n">
        <v>7</v>
      </c>
      <c r="D117" s="2" t="n">
        <v>6569.71</v>
      </c>
      <c r="E117" s="2" t="n">
        <v>63761.8</v>
      </c>
      <c r="F117" s="2" t="n">
        <v>3140980</v>
      </c>
      <c r="G117" s="2" t="n">
        <v>266357</v>
      </c>
      <c r="H117" t="inlineStr">
        <is>
          <t>Australia</t>
        </is>
      </c>
      <c r="I117" t="inlineStr">
        <is>
          <t>AUD</t>
        </is>
      </c>
      <c r="J117" t="inlineStr">
        <is>
          <t>Komatsu</t>
        </is>
      </c>
      <c r="K117" t="inlineStr">
        <is>
          <t>930E</t>
        </is>
      </c>
      <c r="L117" s="4">
        <f>$D117*IF($I117="AUD",Assumptions!$B$2,Assumptions!$B$3)*Assumptions!$B$4</f>
        <v/>
      </c>
      <c r="M117" s="4">
        <f>$E117*IF($I117="AUD",Assumptions!$B$2,Assumptions!$B$3)*Assumptions!$B$4</f>
        <v/>
      </c>
      <c r="N117" s="4">
        <f>$F117*IF($I117="AUD",Assumptions!$B$2,Assumptions!$B$3)*Assumptions!$B$4</f>
        <v/>
      </c>
    </row>
    <row r="118">
      <c r="A118" t="inlineStr">
        <is>
          <t>KOMATSU 830E HPT MAX STD PO REFERENCE: 3014092530</t>
        </is>
      </c>
      <c r="B118" t="inlineStr">
        <is>
          <t>Hamersley Iron Pty Limited</t>
        </is>
      </c>
      <c r="C118" t="n">
        <v>1</v>
      </c>
      <c r="D118" s="2" t="n">
        <v>4061.77</v>
      </c>
      <c r="E118" s="2" t="n">
        <v>39421.2</v>
      </c>
      <c r="F118" s="2" t="n">
        <v>277419</v>
      </c>
      <c r="G118" s="2" t="n">
        <v>26000</v>
      </c>
      <c r="H118" t="inlineStr">
        <is>
          <t>Australia</t>
        </is>
      </c>
      <c r="I118" t="inlineStr">
        <is>
          <t>AUD</t>
        </is>
      </c>
      <c r="J118" t="inlineStr">
        <is>
          <t>Komatsu</t>
        </is>
      </c>
      <c r="K118" t="inlineStr">
        <is>
          <t>830E</t>
        </is>
      </c>
      <c r="L118" s="4">
        <f>$D118*IF($I118="AUD",Assumptions!$B$2,Assumptions!$B$3)*Assumptions!$B$4</f>
        <v/>
      </c>
      <c r="M118" s="4">
        <f>$E118*IF($I118="AUD",Assumptions!$B$2,Assumptions!$B$3)*Assumptions!$B$4</f>
        <v/>
      </c>
      <c r="N118" s="4">
        <f>$F118*IF($I118="AUD",Assumptions!$B$2,Assumptions!$B$3)*Assumptions!$B$4</f>
        <v/>
      </c>
    </row>
    <row r="119">
      <c r="A119" t="inlineStr">
        <is>
          <t>KOMATSU 830E HPT MAX STD PO REFERENCE: 3014092518</t>
        </is>
      </c>
      <c r="B119" t="inlineStr">
        <is>
          <t>Hamersley Iron Pty Limited</t>
        </is>
      </c>
      <c r="C119" t="n">
        <v>1</v>
      </c>
      <c r="D119" s="2" t="n">
        <v>4061.77</v>
      </c>
      <c r="E119" s="2" t="n">
        <v>39421.2</v>
      </c>
      <c r="F119" s="2" t="n">
        <v>277419</v>
      </c>
      <c r="G119" s="2" t="n">
        <v>26000</v>
      </c>
      <c r="H119" t="inlineStr">
        <is>
          <t>Australia</t>
        </is>
      </c>
      <c r="I119" t="inlineStr">
        <is>
          <t>AUD</t>
        </is>
      </c>
      <c r="J119" t="inlineStr">
        <is>
          <t>Komatsu</t>
        </is>
      </c>
      <c r="K119" t="inlineStr">
        <is>
          <t>830E</t>
        </is>
      </c>
      <c r="L119" s="4">
        <f>$D119*IF($I119="AUD",Assumptions!$B$2,Assumptions!$B$3)*Assumptions!$B$4</f>
        <v/>
      </c>
      <c r="M119" s="4">
        <f>$E119*IF($I119="AUD",Assumptions!$B$2,Assumptions!$B$3)*Assumptions!$B$4</f>
        <v/>
      </c>
      <c r="N119" s="4">
        <f>$F119*IF($I119="AUD",Assumptions!$B$2,Assumptions!$B$3)*Assumptions!$B$4</f>
        <v/>
      </c>
    </row>
    <row r="120">
      <c r="A120" t="inlineStr">
        <is>
          <t>KOMATSU 830E HPT MAX STD PO REFERENCE: 3014092535</t>
        </is>
      </c>
      <c r="B120" t="inlineStr">
        <is>
          <t>Hamersley Iron Pty Limited</t>
        </is>
      </c>
      <c r="C120" t="n">
        <v>1</v>
      </c>
      <c r="D120" s="2" t="n">
        <v>4061.77</v>
      </c>
      <c r="E120" s="2" t="n">
        <v>39421.2</v>
      </c>
      <c r="F120" s="2" t="n">
        <v>277419</v>
      </c>
      <c r="G120" s="2" t="n">
        <v>26000</v>
      </c>
      <c r="H120" t="inlineStr">
        <is>
          <t>Australia</t>
        </is>
      </c>
      <c r="I120" t="inlineStr">
        <is>
          <t>AUD</t>
        </is>
      </c>
      <c r="J120" t="inlineStr">
        <is>
          <t>Komatsu</t>
        </is>
      </c>
      <c r="K120" t="inlineStr">
        <is>
          <t>830E</t>
        </is>
      </c>
      <c r="L120" s="4">
        <f>$D120*IF($I120="AUD",Assumptions!$B$2,Assumptions!$B$3)*Assumptions!$B$4</f>
        <v/>
      </c>
      <c r="M120" s="4">
        <f>$E120*IF($I120="AUD",Assumptions!$B$2,Assumptions!$B$3)*Assumptions!$B$4</f>
        <v/>
      </c>
      <c r="N120" s="4">
        <f>$F120*IF($I120="AUD",Assumptions!$B$2,Assumptions!$B$3)*Assumptions!$B$4</f>
        <v/>
      </c>
    </row>
    <row r="121">
      <c r="A121" t="inlineStr">
        <is>
          <t>KOMATSU 830E HPT MAX STD PO REFERENCE: 3014092524</t>
        </is>
      </c>
      <c r="B121" t="inlineStr">
        <is>
          <t>Hamersley Iron Pty Limited</t>
        </is>
      </c>
      <c r="C121" t="n">
        <v>1</v>
      </c>
      <c r="D121" s="2" t="n">
        <v>4061.77</v>
      </c>
      <c r="E121" s="2" t="n">
        <v>39421.2</v>
      </c>
      <c r="F121" s="2" t="n">
        <v>277419</v>
      </c>
      <c r="G121" s="2" t="n">
        <v>26000</v>
      </c>
      <c r="H121" t="inlineStr">
        <is>
          <t>Australia</t>
        </is>
      </c>
      <c r="I121" t="inlineStr">
        <is>
          <t>AUD</t>
        </is>
      </c>
      <c r="J121" t="inlineStr">
        <is>
          <t>Komatsu</t>
        </is>
      </c>
      <c r="K121" t="inlineStr">
        <is>
          <t>830E</t>
        </is>
      </c>
      <c r="L121" s="4">
        <f>$D121*IF($I121="AUD",Assumptions!$B$2,Assumptions!$B$3)*Assumptions!$B$4</f>
        <v/>
      </c>
      <c r="M121" s="4">
        <f>$E121*IF($I121="AUD",Assumptions!$B$2,Assumptions!$B$3)*Assumptions!$B$4</f>
        <v/>
      </c>
      <c r="N121" s="4">
        <f>$F121*IF($I121="AUD",Assumptions!$B$2,Assumptions!$B$3)*Assumptions!$B$4</f>
        <v/>
      </c>
    </row>
    <row r="122">
      <c r="A122" t="inlineStr">
        <is>
          <t>KOMATSU 830E HPT MAX STD PO REFERENCE: 3014092526</t>
        </is>
      </c>
      <c r="B122" t="inlineStr">
        <is>
          <t>Hamersley Iron Pty Limited</t>
        </is>
      </c>
      <c r="C122" t="n">
        <v>1</v>
      </c>
      <c r="D122" s="2" t="n">
        <v>4061.77</v>
      </c>
      <c r="E122" s="2" t="n">
        <v>39421.2</v>
      </c>
      <c r="F122" s="2" t="n">
        <v>277419</v>
      </c>
      <c r="G122" s="2" t="n">
        <v>26000</v>
      </c>
      <c r="H122" t="inlineStr">
        <is>
          <t>Australia</t>
        </is>
      </c>
      <c r="I122" t="inlineStr">
        <is>
          <t>AUD</t>
        </is>
      </c>
      <c r="J122" t="inlineStr">
        <is>
          <t>Komatsu</t>
        </is>
      </c>
      <c r="K122" t="inlineStr">
        <is>
          <t>830E</t>
        </is>
      </c>
      <c r="L122" s="4">
        <f>$D122*IF($I122="AUD",Assumptions!$B$2,Assumptions!$B$3)*Assumptions!$B$4</f>
        <v/>
      </c>
      <c r="M122" s="4">
        <f>$E122*IF($I122="AUD",Assumptions!$B$2,Assumptions!$B$3)*Assumptions!$B$4</f>
        <v/>
      </c>
      <c r="N122" s="4">
        <f>$F122*IF($I122="AUD",Assumptions!$B$2,Assumptions!$B$3)*Assumptions!$B$4</f>
        <v/>
      </c>
    </row>
    <row r="123">
      <c r="A123" t="inlineStr">
        <is>
          <t>KOMATSU 830E HPT MAX STD PO REFERENCE: 3014092528</t>
        </is>
      </c>
      <c r="B123" t="inlineStr">
        <is>
          <t>Hamersley Iron Pty Limited</t>
        </is>
      </c>
      <c r="C123" t="n">
        <v>1</v>
      </c>
      <c r="D123" s="2" t="n">
        <v>4061.77</v>
      </c>
      <c r="E123" s="2" t="n">
        <v>39421.2</v>
      </c>
      <c r="F123" s="2" t="n">
        <v>277419</v>
      </c>
      <c r="G123" s="2" t="n">
        <v>26000</v>
      </c>
      <c r="H123" t="inlineStr">
        <is>
          <t>Australia</t>
        </is>
      </c>
      <c r="I123" t="inlineStr">
        <is>
          <t>AUD</t>
        </is>
      </c>
      <c r="J123" t="inlineStr">
        <is>
          <t>Komatsu</t>
        </is>
      </c>
      <c r="K123" t="inlineStr">
        <is>
          <t>830E</t>
        </is>
      </c>
      <c r="L123" s="4">
        <f>$D123*IF($I123="AUD",Assumptions!$B$2,Assumptions!$B$3)*Assumptions!$B$4</f>
        <v/>
      </c>
      <c r="M123" s="4">
        <f>$E123*IF($I123="AUD",Assumptions!$B$2,Assumptions!$B$3)*Assumptions!$B$4</f>
        <v/>
      </c>
      <c r="N123" s="4">
        <f>$F123*IF($I123="AUD",Assumptions!$B$2,Assumptions!$B$3)*Assumptions!$B$4</f>
        <v/>
      </c>
    </row>
    <row r="124">
      <c r="A124" t="inlineStr">
        <is>
          <t>KOMATSU 830E HPT MAX STD PO REFERENCE: 3014092532</t>
        </is>
      </c>
      <c r="B124" t="inlineStr">
        <is>
          <t>Hamersley Iron Pty Limited</t>
        </is>
      </c>
      <c r="C124" t="n">
        <v>1</v>
      </c>
      <c r="D124" s="2" t="n">
        <v>4061.77</v>
      </c>
      <c r="E124" s="2" t="n">
        <v>39421.2</v>
      </c>
      <c r="F124" s="2" t="n">
        <v>277419</v>
      </c>
      <c r="G124" s="2" t="n">
        <v>26000</v>
      </c>
      <c r="H124" t="inlineStr">
        <is>
          <t>Australia</t>
        </is>
      </c>
      <c r="I124" t="inlineStr">
        <is>
          <t>AUD</t>
        </is>
      </c>
      <c r="J124" t="inlineStr">
        <is>
          <t>Komatsu</t>
        </is>
      </c>
      <c r="K124" t="inlineStr">
        <is>
          <t>830E</t>
        </is>
      </c>
      <c r="L124" s="4">
        <f>$D124*IF($I124="AUD",Assumptions!$B$2,Assumptions!$B$3)*Assumptions!$B$4</f>
        <v/>
      </c>
      <c r="M124" s="4">
        <f>$E124*IF($I124="AUD",Assumptions!$B$2,Assumptions!$B$3)*Assumptions!$B$4</f>
        <v/>
      </c>
      <c r="N124" s="4">
        <f>$F124*IF($I124="AUD",Assumptions!$B$2,Assumptions!$B$3)*Assumptions!$B$4</f>
        <v/>
      </c>
    </row>
    <row r="125">
      <c r="A125" t="inlineStr">
        <is>
          <t>CAT 785CD JEC LD COMBO BODY TRUCK</t>
        </is>
      </c>
      <c r="B125" t="inlineStr">
        <is>
          <t>Austin Engineering Limited</t>
        </is>
      </c>
      <c r="C125" t="n">
        <v>2</v>
      </c>
      <c r="D125" s="2" t="n">
        <v>1290.89</v>
      </c>
      <c r="E125" s="2" t="n">
        <v>12528.7</v>
      </c>
      <c r="F125" s="2" t="n">
        <v>617176</v>
      </c>
      <c r="G125" s="2" t="n">
        <v>42000</v>
      </c>
      <c r="H125" t="inlineStr">
        <is>
          <t>Australia</t>
        </is>
      </c>
      <c r="I125" t="inlineStr">
        <is>
          <t>AUD</t>
        </is>
      </c>
      <c r="J125" t="inlineStr">
        <is>
          <t>Caterpillar</t>
        </is>
      </c>
      <c r="K125" t="inlineStr">
        <is>
          <t>785</t>
        </is>
      </c>
      <c r="L125" s="4">
        <f>$D125*IF($I125="AUD",Assumptions!$B$2,Assumptions!$B$3)*Assumptions!$B$4</f>
        <v/>
      </c>
      <c r="M125" s="4">
        <f>$E125*IF($I125="AUD",Assumptions!$B$2,Assumptions!$B$3)*Assumptions!$B$4</f>
        <v/>
      </c>
      <c r="N125" s="4">
        <f>$F125*IF($I125="AUD",Assumptions!$B$2,Assumptions!$B$3)*Assumptions!$B$4</f>
        <v/>
      </c>
    </row>
    <row r="126">
      <c r="A126" t="inlineStr">
        <is>
          <t>SANVIK TH663I UNDERGORUND BODY TRUCK</t>
        </is>
      </c>
      <c r="B126" t="inlineStr">
        <is>
          <t>Austin Engineering Limited</t>
        </is>
      </c>
      <c r="C126" t="n">
        <v>1</v>
      </c>
      <c r="D126" s="2" t="n">
        <v>292.37</v>
      </c>
      <c r="E126" s="2" t="n">
        <v>2837.53</v>
      </c>
      <c r="F126" s="2" t="n">
        <v>139780</v>
      </c>
      <c r="G126" s="2" t="n">
        <v>11000</v>
      </c>
      <c r="H126" t="inlineStr">
        <is>
          <t>Australia</t>
        </is>
      </c>
      <c r="I126" t="inlineStr">
        <is>
          <t>AUD</t>
        </is>
      </c>
      <c r="J126" t="inlineStr">
        <is>
          <t>Sandvik</t>
        </is>
      </c>
      <c r="K126" t="inlineStr">
        <is>
          <t>TH663i</t>
        </is>
      </c>
      <c r="L126" s="4">
        <f>$D126*IF($I126="AUD",Assumptions!$B$2,Assumptions!$B$3)*Assumptions!$B$4</f>
        <v/>
      </c>
      <c r="M126" s="4">
        <f>$E126*IF($I126="AUD",Assumptions!$B$2,Assumptions!$B$3)*Assumptions!$B$4</f>
        <v/>
      </c>
      <c r="N126" s="4">
        <f>$F126*IF($I126="AUD",Assumptions!$B$2,Assumptions!$B$3)*Assumptions!$B$4</f>
        <v/>
      </c>
    </row>
    <row r="127">
      <c r="A127" t="inlineStr">
        <is>
          <t>KOMATSU 930 ULTIMA TRUCK BODIES COMPONENTS</t>
        </is>
      </c>
      <c r="B127" t="inlineStr">
        <is>
          <t>Austin Engineering Limited</t>
        </is>
      </c>
      <c r="C127" t="n">
        <v>4</v>
      </c>
      <c r="D127" s="2" t="n">
        <v>1009</v>
      </c>
      <c r="E127" s="2" t="n">
        <v>9792.719999999999</v>
      </c>
      <c r="F127" s="2" t="n">
        <v>482400</v>
      </c>
      <c r="G127" s="2" t="n">
        <v>80000</v>
      </c>
      <c r="H127" t="inlineStr">
        <is>
          <t>Australia</t>
        </is>
      </c>
      <c r="I127" t="inlineStr">
        <is>
          <t>AUD</t>
        </is>
      </c>
      <c r="J127" t="inlineStr">
        <is>
          <t>Komatsu</t>
        </is>
      </c>
      <c r="K127" t="inlineStr">
        <is>
          <t>930E</t>
        </is>
      </c>
      <c r="L127" s="4">
        <f>$D127*IF($I127="AUD",Assumptions!$B$2,Assumptions!$B$3)*Assumptions!$B$4</f>
        <v/>
      </c>
      <c r="M127" s="4">
        <f>$E127*IF($I127="AUD",Assumptions!$B$2,Assumptions!$B$3)*Assumptions!$B$4</f>
        <v/>
      </c>
      <c r="N127" s="4">
        <f>$F127*IF($I127="AUD",Assumptions!$B$2,Assumptions!$B$3)*Assumptions!$B$4</f>
        <v/>
      </c>
    </row>
    <row r="128">
      <c r="A128" t="inlineStr">
        <is>
          <t>HD785-7 ULTIMA BODY TRUCK C/W ACCESSORIES PARTS</t>
        </is>
      </c>
      <c r="B128" t="inlineStr">
        <is>
          <t>Austin Engineering Limited</t>
        </is>
      </c>
      <c r="C128" t="n">
        <v>4</v>
      </c>
      <c r="D128" s="2" t="n">
        <v>1317.64</v>
      </c>
      <c r="E128" s="2" t="n">
        <v>12788.3</v>
      </c>
      <c r="F128" s="2" t="n">
        <v>629964</v>
      </c>
      <c r="G128" s="2" t="n">
        <v>55076</v>
      </c>
      <c r="H128" t="inlineStr">
        <is>
          <t>Australia</t>
        </is>
      </c>
      <c r="I128" t="inlineStr">
        <is>
          <t>AUD</t>
        </is>
      </c>
      <c r="J128" t="inlineStr">
        <is>
          <t>Komatsu</t>
        </is>
      </c>
      <c r="K128" t="inlineStr">
        <is>
          <t>HD785-7</t>
        </is>
      </c>
      <c r="L128" s="4">
        <f>$D128*IF($I128="AUD",Assumptions!$B$2,Assumptions!$B$3)*Assumptions!$B$4</f>
        <v/>
      </c>
      <c r="M128" s="4">
        <f>$E128*IF($I128="AUD",Assumptions!$B$2,Assumptions!$B$3)*Assumptions!$B$4</f>
        <v/>
      </c>
      <c r="N128" s="4">
        <f>$F128*IF($I128="AUD",Assumptions!$B$2,Assumptions!$B$3)*Assumptions!$B$4</f>
        <v/>
      </c>
    </row>
    <row r="129">
      <c r="A129" t="inlineStr">
        <is>
          <t>CAT 777F RED DOG BODY TRUCK</t>
        </is>
      </c>
      <c r="B129" t="inlineStr">
        <is>
          <t>Austin Engineering Limited</t>
        </is>
      </c>
      <c r="C129" t="n">
        <v>4</v>
      </c>
      <c r="D129" s="2" t="n">
        <v>1637.07</v>
      </c>
      <c r="E129" s="2" t="n">
        <v>38388.4</v>
      </c>
      <c r="F129" s="2" t="n">
        <v>689200</v>
      </c>
      <c r="G129" s="2" t="n">
        <v>92000</v>
      </c>
      <c r="H129" t="inlineStr">
        <is>
          <t>Australia</t>
        </is>
      </c>
      <c r="I129" t="inlineStr">
        <is>
          <t>AUD</t>
        </is>
      </c>
      <c r="J129" t="inlineStr">
        <is>
          <t>Caterpillar</t>
        </is>
      </c>
      <c r="K129" t="inlineStr">
        <is>
          <t>777</t>
        </is>
      </c>
      <c r="L129" s="4">
        <f>$D129*IF($I129="AUD",Assumptions!$B$2,Assumptions!$B$3)*Assumptions!$B$4</f>
        <v/>
      </c>
      <c r="M129" s="4">
        <f>$E129*IF($I129="AUD",Assumptions!$B$2,Assumptions!$B$3)*Assumptions!$B$4</f>
        <v/>
      </c>
      <c r="N129" s="4">
        <f>$F129*IF($I129="AUD",Assumptions!$B$2,Assumptions!$B$3)*Assumptions!$B$4</f>
        <v/>
      </c>
    </row>
    <row r="130">
      <c r="A130" t="inlineStr">
        <is>
          <t>CAT 789D ULTIMA BODY TRUCK</t>
        </is>
      </c>
      <c r="B130" t="inlineStr">
        <is>
          <t>Austin Engineering Limited</t>
        </is>
      </c>
      <c r="C130" t="n">
        <v>3</v>
      </c>
      <c r="D130" s="2" t="n">
        <v>1664.35</v>
      </c>
      <c r="E130" s="2" t="n">
        <v>16153.2</v>
      </c>
      <c r="F130" s="2" t="n">
        <v>795723</v>
      </c>
      <c r="G130" s="2" t="n">
        <v>68880</v>
      </c>
      <c r="H130" t="inlineStr">
        <is>
          <t>Australia</t>
        </is>
      </c>
      <c r="I130" t="inlineStr">
        <is>
          <t>AUD</t>
        </is>
      </c>
      <c r="J130" t="inlineStr">
        <is>
          <t>Caterpillar</t>
        </is>
      </c>
      <c r="K130" t="inlineStr">
        <is>
          <t>789</t>
        </is>
      </c>
      <c r="L130" s="4">
        <f>$D130*IF($I130="AUD",Assumptions!$B$2,Assumptions!$B$3)*Assumptions!$B$4</f>
        <v/>
      </c>
      <c r="M130" s="4">
        <f>$E130*IF($I130="AUD",Assumptions!$B$2,Assumptions!$B$3)*Assumptions!$B$4</f>
        <v/>
      </c>
      <c r="N130" s="4">
        <f>$F130*IF($I130="AUD",Assumptions!$B$2,Assumptions!$B$3)*Assumptions!$B$4</f>
        <v/>
      </c>
    </row>
    <row r="131">
      <c r="A131" t="inlineStr">
        <is>
          <t>CAT 785 D FULL BODY</t>
        </is>
      </c>
      <c r="B131" t="inlineStr">
        <is>
          <t>Austin Engineering Limited</t>
        </is>
      </c>
      <c r="C131" t="n">
        <v>2</v>
      </c>
      <c r="D131" s="2" t="n">
        <v>994.77</v>
      </c>
      <c r="E131" s="2" t="n">
        <v>9654.68</v>
      </c>
      <c r="F131" s="2" t="n">
        <v>475600</v>
      </c>
      <c r="G131" s="2" t="n">
        <v>42100</v>
      </c>
      <c r="H131" t="inlineStr">
        <is>
          <t>Australia</t>
        </is>
      </c>
      <c r="I131" t="inlineStr">
        <is>
          <t>AUD</t>
        </is>
      </c>
      <c r="J131" t="inlineStr">
        <is>
          <t>Caterpillar</t>
        </is>
      </c>
      <c r="K131" t="inlineStr">
        <is>
          <t>785</t>
        </is>
      </c>
      <c r="L131" s="4">
        <f>$D131*IF($I131="AUD",Assumptions!$B$2,Assumptions!$B$3)*Assumptions!$B$4</f>
        <v/>
      </c>
      <c r="M131" s="4">
        <f>$E131*IF($I131="AUD",Assumptions!$B$2,Assumptions!$B$3)*Assumptions!$B$4</f>
        <v/>
      </c>
      <c r="N131" s="4">
        <f>$F131*IF($I131="AUD",Assumptions!$B$2,Assumptions!$B$3)*Assumptions!$B$4</f>
        <v/>
      </c>
    </row>
    <row r="132">
      <c r="A132" t="inlineStr">
        <is>
          <t>FABRICATE CAT785 ULTRA TRUCK BODIES, C/W RUBBER MUD F</t>
        </is>
      </c>
      <c r="B132" t="inlineStr">
        <is>
          <t>Duratray International Pty Ltd</t>
        </is>
      </c>
      <c r="C132" t="n">
        <v>1</v>
      </c>
      <c r="D132" s="2" t="n">
        <v>0</v>
      </c>
      <c r="E132" s="2" t="n">
        <v>0</v>
      </c>
      <c r="F132" s="2" t="n">
        <v>195675</v>
      </c>
      <c r="G132" s="2" t="n">
        <v>25616</v>
      </c>
      <c r="H132" t="inlineStr">
        <is>
          <t>Australia</t>
        </is>
      </c>
      <c r="I132" t="inlineStr">
        <is>
          <t>AUD</t>
        </is>
      </c>
      <c r="J132" t="inlineStr">
        <is>
          <t>Caterpillar</t>
        </is>
      </c>
      <c r="K132" t="inlineStr">
        <is>
          <t>785</t>
        </is>
      </c>
      <c r="L132" s="4">
        <f>$D132*IF($I132="AUD",Assumptions!$B$2,Assumptions!$B$3)*Assumptions!$B$4</f>
        <v/>
      </c>
      <c r="M132" s="4">
        <f>$E132*IF($I132="AUD",Assumptions!$B$2,Assumptions!$B$3)*Assumptions!$B$4</f>
        <v/>
      </c>
      <c r="N132" s="4">
        <f>$F132*IF($I132="AUD",Assumptions!$B$2,Assumptions!$B$3)*Assumptions!$B$4</f>
        <v/>
      </c>
    </row>
    <row r="133">
      <c r="A133" t="inlineStr">
        <is>
          <t>CAT785 TRUCK BODIES C/W RUBBER MUD FLAPS &amp; DECALS</t>
        </is>
      </c>
      <c r="B133" t="inlineStr">
        <is>
          <t>Quad Efficient Engineering Pty Limited</t>
        </is>
      </c>
      <c r="C133" t="n">
        <v>1</v>
      </c>
      <c r="D133" s="2" t="n">
        <v>0</v>
      </c>
      <c r="E133" s="2" t="n">
        <v>0</v>
      </c>
      <c r="F133" s="2" t="n">
        <v>245950</v>
      </c>
      <c r="G133" s="2" t="n">
        <v>34946</v>
      </c>
      <c r="H133" t="inlineStr">
        <is>
          <t>Australia</t>
        </is>
      </c>
      <c r="I133" t="inlineStr">
        <is>
          <t>AUD</t>
        </is>
      </c>
      <c r="J133" t="inlineStr">
        <is>
          <t>Caterpillar</t>
        </is>
      </c>
      <c r="K133" t="inlineStr">
        <is>
          <t>785</t>
        </is>
      </c>
      <c r="L133" s="4">
        <f>$D133*IF($I133="AUD",Assumptions!$B$2,Assumptions!$B$3)*Assumptions!$B$4</f>
        <v/>
      </c>
      <c r="M133" s="4">
        <f>$E133*IF($I133="AUD",Assumptions!$B$2,Assumptions!$B$3)*Assumptions!$B$4</f>
        <v/>
      </c>
      <c r="N133" s="4">
        <f>$F133*IF($I133="AUD",Assumptions!$B$2,Assumptions!$B$3)*Assumptions!$B$4</f>
        <v/>
      </c>
    </row>
    <row r="134">
      <c r="A134" t="inlineStr">
        <is>
          <t>CAT785 TRUCK BODIES C/W RUBBER MUD FLAPS &amp; DECALS</t>
        </is>
      </c>
      <c r="B134" t="inlineStr">
        <is>
          <t>Quad Efficient Engineering Pty Limited</t>
        </is>
      </c>
      <c r="C134" t="n">
        <v>2</v>
      </c>
      <c r="D134" s="2" t="n">
        <v>0</v>
      </c>
      <c r="E134" s="2" t="n">
        <v>0</v>
      </c>
      <c r="F134" s="2" t="n">
        <v>245950</v>
      </c>
      <c r="G134" s="2" t="n">
        <v>34946</v>
      </c>
      <c r="H134" t="inlineStr">
        <is>
          <t>Australia</t>
        </is>
      </c>
      <c r="I134" t="inlineStr">
        <is>
          <t>AUD</t>
        </is>
      </c>
      <c r="J134" t="inlineStr">
        <is>
          <t>Caterpillar</t>
        </is>
      </c>
      <c r="K134" t="inlineStr">
        <is>
          <t>785</t>
        </is>
      </c>
      <c r="L134" s="4">
        <f>$D134*IF($I134="AUD",Assumptions!$B$2,Assumptions!$B$3)*Assumptions!$B$4</f>
        <v/>
      </c>
      <c r="M134" s="4">
        <f>$E134*IF($I134="AUD",Assumptions!$B$2,Assumptions!$B$3)*Assumptions!$B$4</f>
        <v/>
      </c>
      <c r="N134" s="4">
        <f>$F134*IF($I134="AUD",Assumptions!$B$2,Assumptions!$B$3)*Assumptions!$B$4</f>
        <v/>
      </c>
    </row>
    <row r="135">
      <c r="A135" t="inlineStr">
        <is>
          <t>SDB FRAME KIT CAT785 BEAMS</t>
        </is>
      </c>
      <c r="B135" t="inlineStr">
        <is>
          <t>Duratray International Pty Ltd</t>
        </is>
      </c>
      <c r="C135" t="n">
        <v>1</v>
      </c>
      <c r="D135" s="2" t="n">
        <v>0</v>
      </c>
      <c r="E135" s="2" t="n">
        <v>0</v>
      </c>
      <c r="F135" s="2" t="n">
        <v>135245</v>
      </c>
      <c r="G135" s="2" t="n">
        <v>18912</v>
      </c>
      <c r="H135" t="inlineStr">
        <is>
          <t>Australia</t>
        </is>
      </c>
      <c r="I135" t="inlineStr">
        <is>
          <t>AUD</t>
        </is>
      </c>
      <c r="J135" t="inlineStr">
        <is>
          <t>Caterpillar</t>
        </is>
      </c>
      <c r="K135" t="inlineStr">
        <is>
          <t>785</t>
        </is>
      </c>
      <c r="L135" s="4">
        <f>$D135*IF($I135="AUD",Assumptions!$B$2,Assumptions!$B$3)*Assumptions!$B$4</f>
        <v/>
      </c>
      <c r="M135" s="4">
        <f>$E135*IF($I135="AUD",Assumptions!$B$2,Assumptions!$B$3)*Assumptions!$B$4</f>
        <v/>
      </c>
      <c r="N135" s="4">
        <f>$F135*IF($I135="AUD",Assumptions!$B$2,Assumptions!$B$3)*Assumptions!$B$4</f>
        <v/>
      </c>
    </row>
    <row r="136">
      <c r="A136" t="inlineStr">
        <is>
          <t>SDB FRAME KIT CAT785 BEAMS</t>
        </is>
      </c>
      <c r="B136" t="inlineStr">
        <is>
          <t>Duratray International Pty Ltd</t>
        </is>
      </c>
      <c r="C136" t="n">
        <v>1</v>
      </c>
      <c r="D136" s="2" t="n">
        <v>0</v>
      </c>
      <c r="E136" s="2" t="n">
        <v>0</v>
      </c>
      <c r="F136" s="2" t="n">
        <v>135245</v>
      </c>
      <c r="G136" s="2" t="n">
        <v>18912</v>
      </c>
      <c r="H136" t="inlineStr">
        <is>
          <t>Australia</t>
        </is>
      </c>
      <c r="I136" t="inlineStr">
        <is>
          <t>AUD</t>
        </is>
      </c>
      <c r="J136" t="inlineStr">
        <is>
          <t>Caterpillar</t>
        </is>
      </c>
      <c r="K136" t="inlineStr">
        <is>
          <t>785</t>
        </is>
      </c>
      <c r="L136" s="4">
        <f>$D136*IF($I136="AUD",Assumptions!$B$2,Assumptions!$B$3)*Assumptions!$B$4</f>
        <v/>
      </c>
      <c r="M136" s="4">
        <f>$E136*IF($I136="AUD",Assumptions!$B$2,Assumptions!$B$3)*Assumptions!$B$4</f>
        <v/>
      </c>
      <c r="N136" s="4">
        <f>$F136*IF($I136="AUD",Assumptions!$B$2,Assumptions!$B$3)*Assumptions!$B$4</f>
        <v/>
      </c>
    </row>
    <row r="137">
      <c r="A137" t="inlineStr">
        <is>
          <t>SDB FRAME KIT CAT785 BEAMS</t>
        </is>
      </c>
      <c r="B137" t="inlineStr">
        <is>
          <t>Duratray International Pty Ltd</t>
        </is>
      </c>
      <c r="C137" t="n">
        <v>1</v>
      </c>
      <c r="D137" s="2" t="n">
        <v>0</v>
      </c>
      <c r="E137" s="2" t="n">
        <v>0</v>
      </c>
      <c r="F137" s="2" t="n">
        <v>135245</v>
      </c>
      <c r="G137" s="2" t="n">
        <v>19062</v>
      </c>
      <c r="H137" t="inlineStr">
        <is>
          <t>Australia</t>
        </is>
      </c>
      <c r="I137" t="inlineStr">
        <is>
          <t>AUD</t>
        </is>
      </c>
      <c r="J137" t="inlineStr">
        <is>
          <t>Caterpillar</t>
        </is>
      </c>
      <c r="K137" t="inlineStr">
        <is>
          <t>785</t>
        </is>
      </c>
      <c r="L137" s="4">
        <f>$D137*IF($I137="AUD",Assumptions!$B$2,Assumptions!$B$3)*Assumptions!$B$4</f>
        <v/>
      </c>
      <c r="M137" s="4">
        <f>$E137*IF($I137="AUD",Assumptions!$B$2,Assumptions!$B$3)*Assumptions!$B$4</f>
        <v/>
      </c>
      <c r="N137" s="4">
        <f>$F137*IF($I137="AUD",Assumptions!$B$2,Assumptions!$B$3)*Assumptions!$B$4</f>
        <v/>
      </c>
    </row>
    <row r="138">
      <c r="A138" t="inlineStr">
        <is>
          <t>CAT785NG SDB TRAYS - SDB1021 &amp; SDB1022INCLUDING SPARES</t>
        </is>
      </c>
      <c r="B138" t="inlineStr">
        <is>
          <t>Duratray International Pty Ltd</t>
        </is>
      </c>
      <c r="C138" t="n">
        <v>2</v>
      </c>
      <c r="D138" s="2" t="n">
        <v>0</v>
      </c>
      <c r="E138" s="2" t="n">
        <v>0</v>
      </c>
      <c r="F138" s="2" t="n">
        <v>274566</v>
      </c>
      <c r="G138" s="2" t="n">
        <v>53308</v>
      </c>
      <c r="H138" t="inlineStr">
        <is>
          <t>Australia</t>
        </is>
      </c>
      <c r="I138" t="inlineStr">
        <is>
          <t>AUD</t>
        </is>
      </c>
      <c r="J138" t="inlineStr">
        <is>
          <t>Caterpillar</t>
        </is>
      </c>
      <c r="K138" t="inlineStr">
        <is>
          <t>785</t>
        </is>
      </c>
      <c r="L138" s="4">
        <f>$D138*IF($I138="AUD",Assumptions!$B$2,Assumptions!$B$3)*Assumptions!$B$4</f>
        <v/>
      </c>
      <c r="M138" s="4">
        <f>$E138*IF($I138="AUD",Assumptions!$B$2,Assumptions!$B$3)*Assumptions!$B$4</f>
        <v/>
      </c>
      <c r="N138" s="4">
        <f>$F138*IF($I138="AUD",Assumptions!$B$2,Assumptions!$B$3)*Assumptions!$B$4</f>
        <v/>
      </c>
    </row>
    <row r="139">
      <c r="A139" t="inlineStr">
        <is>
          <t>CAT785NG SDB TRAYS - SDB1017 &amp; SDB1018INCLUDING SPARES</t>
        </is>
      </c>
      <c r="B139" t="inlineStr">
        <is>
          <t>Duratray International Pty Ltd</t>
        </is>
      </c>
      <c r="C139" t="n">
        <v>2</v>
      </c>
      <c r="D139" s="2" t="n">
        <v>0</v>
      </c>
      <c r="E139" s="2" t="n">
        <v>0</v>
      </c>
      <c r="F139" s="2" t="n">
        <v>274566</v>
      </c>
      <c r="G139" s="2" t="n">
        <v>53108</v>
      </c>
      <c r="H139" t="inlineStr">
        <is>
          <t>Australia</t>
        </is>
      </c>
      <c r="I139" t="inlineStr">
        <is>
          <t>AUD</t>
        </is>
      </c>
      <c r="J139" t="inlineStr">
        <is>
          <t>Caterpillar</t>
        </is>
      </c>
      <c r="K139" t="inlineStr">
        <is>
          <t>785</t>
        </is>
      </c>
      <c r="L139" s="4">
        <f>$D139*IF($I139="AUD",Assumptions!$B$2,Assumptions!$B$3)*Assumptions!$B$4</f>
        <v/>
      </c>
      <c r="M139" s="4">
        <f>$E139*IF($I139="AUD",Assumptions!$B$2,Assumptions!$B$3)*Assumptions!$B$4</f>
        <v/>
      </c>
      <c r="N139" s="4">
        <f>$F139*IF($I139="AUD",Assumptions!$B$2,Assumptions!$B$3)*Assumptions!$B$4</f>
        <v/>
      </c>
    </row>
    <row r="140">
      <c r="A140" t="inlineStr">
        <is>
          <t>ULTRA XP KOM785-7 STEEL TRAY, SP-1015 &amp; SP-1016PACKING IN</t>
        </is>
      </c>
      <c r="B140" t="inlineStr">
        <is>
          <t>Morobe Consolidated Goldfields Limited</t>
        </is>
      </c>
      <c r="C140" t="n">
        <v>2</v>
      </c>
      <c r="D140" s="2" t="n">
        <v>0</v>
      </c>
      <c r="E140" s="2" t="n">
        <v>0</v>
      </c>
      <c r="F140" s="2" t="n">
        <v>253756</v>
      </c>
      <c r="G140" s="2" t="n">
        <v>31742</v>
      </c>
      <c r="H140" t="inlineStr">
        <is>
          <t>Australia</t>
        </is>
      </c>
      <c r="I140" t="inlineStr">
        <is>
          <t>AUD</t>
        </is>
      </c>
      <c r="J140" t="inlineStr">
        <is>
          <t>Komatsu</t>
        </is>
      </c>
      <c r="K140" t="inlineStr">
        <is>
          <t>HD785-7</t>
        </is>
      </c>
      <c r="L140" s="4">
        <f>$D140*IF($I140="AUD",Assumptions!$B$2,Assumptions!$B$3)*Assumptions!$B$4</f>
        <v/>
      </c>
      <c r="M140" s="4">
        <f>$E140*IF($I140="AUD",Assumptions!$B$2,Assumptions!$B$3)*Assumptions!$B$4</f>
        <v/>
      </c>
      <c r="N140" s="4">
        <f>$F140*IF($I140="AUD",Assumptions!$B$2,Assumptions!$B$3)*Assumptions!$B$4</f>
        <v/>
      </c>
    </row>
    <row r="141">
      <c r="A141" t="inlineStr">
        <is>
          <t>ULTRA XP KOM785-7 STEEL TRAY, SP-1013 &amp; SP-1014PACKING IN</t>
        </is>
      </c>
      <c r="B141" t="inlineStr">
        <is>
          <t>Morobe Consolidated Goldfields Limited</t>
        </is>
      </c>
      <c r="C141" t="n">
        <v>2</v>
      </c>
      <c r="D141" s="2" t="n">
        <v>0</v>
      </c>
      <c r="E141" s="2" t="n">
        <v>0</v>
      </c>
      <c r="F141" s="2" t="n">
        <v>253756</v>
      </c>
      <c r="G141" s="2" t="n">
        <v>31742</v>
      </c>
      <c r="H141" t="inlineStr">
        <is>
          <t>Australia</t>
        </is>
      </c>
      <c r="I141" t="inlineStr">
        <is>
          <t>AUD</t>
        </is>
      </c>
      <c r="J141" t="inlineStr">
        <is>
          <t>Komatsu</t>
        </is>
      </c>
      <c r="K141" t="inlineStr">
        <is>
          <t>HD785-7</t>
        </is>
      </c>
      <c r="L141" s="4">
        <f>$D141*IF($I141="AUD",Assumptions!$B$2,Assumptions!$B$3)*Assumptions!$B$4</f>
        <v/>
      </c>
      <c r="M141" s="4">
        <f>$E141*IF($I141="AUD",Assumptions!$B$2,Assumptions!$B$3)*Assumptions!$B$4</f>
        <v/>
      </c>
      <c r="N141" s="4">
        <f>$F141*IF($I141="AUD",Assumptions!$B$2,Assumptions!$B$3)*Assumptions!$B$4</f>
        <v/>
      </c>
    </row>
    <row r="142">
      <c r="A142" t="inlineStr">
        <is>
          <t>ULTRA XP KOM785-7 STEEL TRAY, SP-1011 &amp; SP-1012PACKING IN</t>
        </is>
      </c>
      <c r="B142" t="inlineStr">
        <is>
          <t>Morobe Consolidated Goldfields Limited</t>
        </is>
      </c>
      <c r="C142" t="n">
        <v>2</v>
      </c>
      <c r="D142" s="2" t="n">
        <v>0</v>
      </c>
      <c r="E142" s="2" t="n">
        <v>0</v>
      </c>
      <c r="F142" s="2" t="n">
        <v>253756</v>
      </c>
      <c r="G142" s="2" t="n">
        <v>31742</v>
      </c>
      <c r="H142" t="inlineStr">
        <is>
          <t>Australia</t>
        </is>
      </c>
      <c r="I142" t="inlineStr">
        <is>
          <t>AUD</t>
        </is>
      </c>
      <c r="J142" t="inlineStr">
        <is>
          <t>Komatsu</t>
        </is>
      </c>
      <c r="K142" t="inlineStr">
        <is>
          <t>HD785-7</t>
        </is>
      </c>
      <c r="L142" s="4">
        <f>$D142*IF($I142="AUD",Assumptions!$B$2,Assumptions!$B$3)*Assumptions!$B$4</f>
        <v/>
      </c>
      <c r="M142" s="4">
        <f>$E142*IF($I142="AUD",Assumptions!$B$2,Assumptions!$B$3)*Assumptions!$B$4</f>
        <v/>
      </c>
      <c r="N142" s="4">
        <f>$F142*IF($I142="AUD",Assumptions!$B$2,Assumptions!$B$3)*Assumptions!$B$4</f>
        <v/>
      </c>
    </row>
    <row r="143">
      <c r="A143" t="inlineStr">
        <is>
          <t>ULTRA XP KOM785-7 STEEL TRAY, SP-1009 &amp; SP-1010PACKING I</t>
        </is>
      </c>
      <c r="B143" t="inlineStr">
        <is>
          <t>Morobe Consolidated Goldfields Limited</t>
        </is>
      </c>
      <c r="C143" t="n">
        <v>2</v>
      </c>
      <c r="D143" s="2" t="n">
        <v>0</v>
      </c>
      <c r="E143" s="2" t="n">
        <v>0</v>
      </c>
      <c r="F143" s="2" t="n">
        <v>253756</v>
      </c>
      <c r="G143" s="2" t="n">
        <v>31742</v>
      </c>
      <c r="H143" t="inlineStr">
        <is>
          <t>Australia</t>
        </is>
      </c>
      <c r="I143" t="inlineStr">
        <is>
          <t>AUD</t>
        </is>
      </c>
      <c r="J143" t="inlineStr">
        <is>
          <t>Komatsu</t>
        </is>
      </c>
      <c r="K143" t="inlineStr">
        <is>
          <t>HD785-7</t>
        </is>
      </c>
      <c r="L143" s="4">
        <f>$D143*IF($I143="AUD",Assumptions!$B$2,Assumptions!$B$3)*Assumptions!$B$4</f>
        <v/>
      </c>
      <c r="M143" s="4">
        <f>$E143*IF($I143="AUD",Assumptions!$B$2,Assumptions!$B$3)*Assumptions!$B$4</f>
        <v/>
      </c>
      <c r="N143" s="4">
        <f>$F143*IF($I143="AUD",Assumptions!$B$2,Assumptions!$B$3)*Assumptions!$B$4</f>
        <v/>
      </c>
    </row>
    <row r="144">
      <c r="A144" t="inlineStr">
        <is>
          <t>ULTRA XP KOM785-7 STEEL TRAY, SP-1007PACKING INTO 1 PLA</t>
        </is>
      </c>
      <c r="B144" t="inlineStr">
        <is>
          <t>Morobe Consolidated Goldfields Limited</t>
        </is>
      </c>
      <c r="C144" t="n">
        <v>2</v>
      </c>
      <c r="D144" s="2" t="n">
        <v>0</v>
      </c>
      <c r="E144" s="2" t="n">
        <v>0</v>
      </c>
      <c r="F144" s="2" t="n">
        <v>253756</v>
      </c>
      <c r="G144" s="2" t="n">
        <v>31742</v>
      </c>
      <c r="H144" t="inlineStr">
        <is>
          <t>Australia</t>
        </is>
      </c>
      <c r="I144" t="inlineStr">
        <is>
          <t>AUD</t>
        </is>
      </c>
      <c r="J144" t="inlineStr">
        <is>
          <t>Komatsu</t>
        </is>
      </c>
      <c r="K144" t="inlineStr">
        <is>
          <t>HD785-7</t>
        </is>
      </c>
      <c r="L144" s="4">
        <f>$D144*IF($I144="AUD",Assumptions!$B$2,Assumptions!$B$3)*Assumptions!$B$4</f>
        <v/>
      </c>
      <c r="M144" s="4">
        <f>$E144*IF($I144="AUD",Assumptions!$B$2,Assumptions!$B$3)*Assumptions!$B$4</f>
        <v/>
      </c>
      <c r="N144" s="4">
        <f>$F144*IF($I144="AUD",Assumptions!$B$2,Assumptions!$B$3)*Assumptions!$B$4</f>
        <v/>
      </c>
    </row>
    <row r="145">
      <c r="A145" t="inlineStr">
        <is>
          <t>ULTRA XP KOM785-7 STEEL TRAY, SP-1005 &amp; SP-1006PACKING</t>
        </is>
      </c>
      <c r="B145" t="inlineStr">
        <is>
          <t>Morobe Consolidated Goldfields Limited</t>
        </is>
      </c>
      <c r="C145" t="n">
        <v>2</v>
      </c>
      <c r="D145" s="2" t="n">
        <v>0</v>
      </c>
      <c r="E145" s="2" t="n">
        <v>0</v>
      </c>
      <c r="F145" s="2" t="n">
        <v>253756</v>
      </c>
      <c r="G145" s="2" t="n">
        <v>31742</v>
      </c>
      <c r="H145" t="inlineStr">
        <is>
          <t>Australia</t>
        </is>
      </c>
      <c r="I145" t="inlineStr">
        <is>
          <t>AUD</t>
        </is>
      </c>
      <c r="J145" t="inlineStr">
        <is>
          <t>Komatsu</t>
        </is>
      </c>
      <c r="K145" t="inlineStr">
        <is>
          <t>HD785-7</t>
        </is>
      </c>
      <c r="L145" s="4">
        <f>$D145*IF($I145="AUD",Assumptions!$B$2,Assumptions!$B$3)*Assumptions!$B$4</f>
        <v/>
      </c>
      <c r="M145" s="4">
        <f>$E145*IF($I145="AUD",Assumptions!$B$2,Assumptions!$B$3)*Assumptions!$B$4</f>
        <v/>
      </c>
      <c r="N145" s="4">
        <f>$F145*IF($I145="AUD",Assumptions!$B$2,Assumptions!$B$3)*Assumptions!$B$4</f>
        <v/>
      </c>
    </row>
    <row r="146">
      <c r="A146" t="inlineStr">
        <is>
          <t>ULTRA XP KOM785-7 STEEL TRAY, SP-1003 &amp; SP-1004PACKING</t>
        </is>
      </c>
      <c r="B146" t="inlineStr">
        <is>
          <t>Morobe Consolidated Goldfields Limited</t>
        </is>
      </c>
      <c r="C146" t="n">
        <v>2</v>
      </c>
      <c r="D146" s="2" t="n">
        <v>0</v>
      </c>
      <c r="E146" s="2" t="n">
        <v>0</v>
      </c>
      <c r="F146" s="2" t="n">
        <v>253756</v>
      </c>
      <c r="G146" s="2" t="n">
        <v>31742</v>
      </c>
      <c r="H146" t="inlineStr">
        <is>
          <t>Australia</t>
        </is>
      </c>
      <c r="I146" t="inlineStr">
        <is>
          <t>AUD</t>
        </is>
      </c>
      <c r="J146" t="inlineStr">
        <is>
          <t>Komatsu</t>
        </is>
      </c>
      <c r="K146" t="inlineStr">
        <is>
          <t>HD785-7</t>
        </is>
      </c>
      <c r="L146" s="4">
        <f>$D146*IF($I146="AUD",Assumptions!$B$2,Assumptions!$B$3)*Assumptions!$B$4</f>
        <v/>
      </c>
      <c r="M146" s="4">
        <f>$E146*IF($I146="AUD",Assumptions!$B$2,Assumptions!$B$3)*Assumptions!$B$4</f>
        <v/>
      </c>
      <c r="N146" s="4">
        <f>$F146*IF($I146="AUD",Assumptions!$B$2,Assumptions!$B$3)*Assumptions!$B$4</f>
        <v/>
      </c>
    </row>
    <row r="147">
      <c r="A147" t="inlineStr">
        <is>
          <t>ULTRA XP KOM785-7 STEEL TRAY, SP-1001 &amp; SP-1002PACKING I</t>
        </is>
      </c>
      <c r="B147" t="inlineStr">
        <is>
          <t>Morobe Consolidated Goldfields Limited</t>
        </is>
      </c>
      <c r="C147" t="n">
        <v>2</v>
      </c>
      <c r="D147" s="2" t="n">
        <v>0</v>
      </c>
      <c r="E147" s="2" t="n">
        <v>0</v>
      </c>
      <c r="F147" s="2" t="n">
        <v>253756</v>
      </c>
      <c r="G147" s="2" t="n">
        <v>31742</v>
      </c>
      <c r="H147" t="inlineStr">
        <is>
          <t>Australia</t>
        </is>
      </c>
      <c r="I147" t="inlineStr">
        <is>
          <t>AUD</t>
        </is>
      </c>
      <c r="J147" t="inlineStr">
        <is>
          <t>Komatsu</t>
        </is>
      </c>
      <c r="K147" t="inlineStr">
        <is>
          <t>HD785-7</t>
        </is>
      </c>
      <c r="L147" s="4">
        <f>$D147*IF($I147="AUD",Assumptions!$B$2,Assumptions!$B$3)*Assumptions!$B$4</f>
        <v/>
      </c>
      <c r="M147" s="4">
        <f>$E147*IF($I147="AUD",Assumptions!$B$2,Assumptions!$B$3)*Assumptions!$B$4</f>
        <v/>
      </c>
      <c r="N147" s="4">
        <f>$F147*IF($I147="AUD",Assumptions!$B$2,Assumptions!$B$3)*Assumptions!$B$4</f>
        <v/>
      </c>
    </row>
    <row r="148">
      <c r="A148" t="inlineStr">
        <is>
          <t>ULTRA XP KOM785-7 STEEL TRAY, SP-999 &amp; SP-1000PACKING II</t>
        </is>
      </c>
      <c r="B148" t="inlineStr">
        <is>
          <t>Morobe Consolidated Goldfields Limited</t>
        </is>
      </c>
      <c r="C148" t="n">
        <v>2</v>
      </c>
      <c r="D148" s="2" t="n">
        <v>0</v>
      </c>
      <c r="E148" s="2" t="n">
        <v>0</v>
      </c>
      <c r="F148" s="2" t="n">
        <v>253756</v>
      </c>
      <c r="G148" s="2" t="n">
        <v>31742</v>
      </c>
      <c r="H148" t="inlineStr">
        <is>
          <t>Australia</t>
        </is>
      </c>
      <c r="I148" t="inlineStr">
        <is>
          <t>AUD</t>
        </is>
      </c>
      <c r="J148" t="inlineStr">
        <is>
          <t>Komatsu</t>
        </is>
      </c>
      <c r="K148" t="inlineStr">
        <is>
          <t>HD785-7</t>
        </is>
      </c>
      <c r="L148" s="4">
        <f>$D148*IF($I148="AUD",Assumptions!$B$2,Assumptions!$B$3)*Assumptions!$B$4</f>
        <v/>
      </c>
      <c r="M148" s="4">
        <f>$E148*IF($I148="AUD",Assumptions!$B$2,Assumptions!$B$3)*Assumptions!$B$4</f>
        <v/>
      </c>
      <c r="N148" s="4">
        <f>$F148*IF($I148="AUD",Assumptions!$B$2,Assumptions!$B$3)*Assumptions!$B$4</f>
        <v/>
      </c>
    </row>
    <row r="149">
      <c r="A149" t="inlineStr">
        <is>
          <t>SDB TRAYS CAT785- C/W ACCESORIES : ROCK GUARD ASSEMB</t>
        </is>
      </c>
      <c r="B149" t="inlineStr">
        <is>
          <t>Duratray International Pty Ltd</t>
        </is>
      </c>
      <c r="C149" t="n">
        <v>2</v>
      </c>
      <c r="D149" s="2" t="n">
        <v>0</v>
      </c>
      <c r="E149" s="2" t="n">
        <v>65882</v>
      </c>
      <c r="F149" s="2" t="n">
        <v>283626</v>
      </c>
      <c r="G149" s="2" t="n">
        <v>52346</v>
      </c>
      <c r="H149" t="inlineStr">
        <is>
          <t>Australia</t>
        </is>
      </c>
      <c r="I149" t="inlineStr">
        <is>
          <t>AUD</t>
        </is>
      </c>
      <c r="J149" t="inlineStr">
        <is>
          <t>Caterpillar</t>
        </is>
      </c>
      <c r="K149" t="inlineStr">
        <is>
          <t>785</t>
        </is>
      </c>
      <c r="L149" s="4">
        <f>$D149*IF($I149="AUD",Assumptions!$B$2,Assumptions!$B$3)*Assumptions!$B$4</f>
        <v/>
      </c>
      <c r="M149" s="4">
        <f>$E149*IF($I149="AUD",Assumptions!$B$2,Assumptions!$B$3)*Assumptions!$B$4</f>
        <v/>
      </c>
      <c r="N149" s="4">
        <f>$F149*IF($I149="AUD",Assumptions!$B$2,Assumptions!$B$3)*Assumptions!$B$4</f>
        <v/>
      </c>
    </row>
    <row r="150">
      <c r="A150" t="inlineStr">
        <is>
          <t>SDB TRAYS CAT785 C/W ACCESSORIES - JOB 1081</t>
        </is>
      </c>
      <c r="B150" t="inlineStr">
        <is>
          <t>Duratray International Pty Ltd</t>
        </is>
      </c>
      <c r="C150" t="n">
        <v>3</v>
      </c>
      <c r="D150" s="2" t="n">
        <v>0</v>
      </c>
      <c r="E150" s="2" t="n">
        <v>0</v>
      </c>
      <c r="F150" s="2" t="n">
        <v>524262</v>
      </c>
      <c r="G150" s="2" t="n">
        <v>78519</v>
      </c>
      <c r="H150" t="inlineStr">
        <is>
          <t>Australia</t>
        </is>
      </c>
      <c r="I150" t="inlineStr">
        <is>
          <t>AUD</t>
        </is>
      </c>
      <c r="J150" t="inlineStr">
        <is>
          <t>Caterpillar</t>
        </is>
      </c>
      <c r="K150" t="inlineStr">
        <is>
          <t>785</t>
        </is>
      </c>
      <c r="L150" s="4">
        <f>$D150*IF($I150="AUD",Assumptions!$B$2,Assumptions!$B$3)*Assumptions!$B$4</f>
        <v/>
      </c>
      <c r="M150" s="4">
        <f>$E150*IF($I150="AUD",Assumptions!$B$2,Assumptions!$B$3)*Assumptions!$B$4</f>
        <v/>
      </c>
      <c r="N150" s="4">
        <f>$F150*IF($I150="AUD",Assumptions!$B$2,Assumptions!$B$3)*Assumptions!$B$4</f>
        <v/>
      </c>
    </row>
    <row r="151">
      <c r="A151" t="inlineStr">
        <is>
          <t>HPT CAT 785D HAUL TRUCK TRAY C/W ACCESSORIESPO REFER</t>
        </is>
      </c>
      <c r="B151" t="inlineStr">
        <is>
          <t>Lihir Gold Limited</t>
        </is>
      </c>
      <c r="C151" t="n">
        <v>7</v>
      </c>
      <c r="D151" s="2" t="n">
        <v>0</v>
      </c>
      <c r="E151" s="2" t="n">
        <v>0</v>
      </c>
      <c r="F151" s="2" t="n">
        <v>1879150</v>
      </c>
      <c r="G151" s="2" t="n">
        <v>156443</v>
      </c>
      <c r="H151" t="inlineStr">
        <is>
          <t>Papua New Guinea</t>
        </is>
      </c>
      <c r="I151" t="inlineStr">
        <is>
          <t>AUD</t>
        </is>
      </c>
      <c r="J151" t="inlineStr">
        <is>
          <t>Caterpillar</t>
        </is>
      </c>
      <c r="K151" t="inlineStr">
        <is>
          <t>785</t>
        </is>
      </c>
      <c r="L151" s="4">
        <f>$D151*IF($I151="AUD",Assumptions!$B$2,Assumptions!$B$3)*Assumptions!$B$4</f>
        <v/>
      </c>
      <c r="M151" s="4">
        <f>$E151*IF($I151="AUD",Assumptions!$B$2,Assumptions!$B$3)*Assumptions!$B$4</f>
        <v/>
      </c>
      <c r="N151" s="4">
        <f>$F151*IF($I151="AUD",Assumptions!$B$2,Assumptions!$B$3)*Assumptions!$B$4</f>
        <v/>
      </c>
    </row>
    <row r="152">
      <c r="A152" t="inlineStr">
        <is>
          <t>HPT CAT 785D HAUL TRUCK TRAY C/W ACCESSORIES PO REFE</t>
        </is>
      </c>
      <c r="B152" t="inlineStr">
        <is>
          <t>Lihir Gold Limited</t>
        </is>
      </c>
      <c r="C152" t="n">
        <v>4</v>
      </c>
      <c r="D152" s="2" t="n">
        <v>0</v>
      </c>
      <c r="E152" s="2" t="n">
        <v>0</v>
      </c>
      <c r="F152" s="2" t="n">
        <v>1073800</v>
      </c>
      <c r="G152" s="2" t="n">
        <v>89396</v>
      </c>
      <c r="H152" t="inlineStr">
        <is>
          <t>Papua New Guinea</t>
        </is>
      </c>
      <c r="I152" t="inlineStr">
        <is>
          <t>AUD</t>
        </is>
      </c>
      <c r="J152" t="inlineStr">
        <is>
          <t>Caterpillar</t>
        </is>
      </c>
      <c r="K152" t="inlineStr">
        <is>
          <t>785</t>
        </is>
      </c>
      <c r="L152" s="4">
        <f>$D152*IF($I152="AUD",Assumptions!$B$2,Assumptions!$B$3)*Assumptions!$B$4</f>
        <v/>
      </c>
      <c r="M152" s="4">
        <f>$E152*IF($I152="AUD",Assumptions!$B$2,Assumptions!$B$3)*Assumptions!$B$4</f>
        <v/>
      </c>
      <c r="N152" s="4">
        <f>$F152*IF($I152="AUD",Assumptions!$B$2,Assumptions!$B$3)*Assumptions!$B$4</f>
        <v/>
      </c>
    </row>
    <row r="153">
      <c r="A153" t="inlineStr">
        <is>
          <t>HPT CAT 785D HAUL TRUCK TRAY C/W ACCESSORIESPO REFER</t>
        </is>
      </c>
      <c r="B153" t="inlineStr">
        <is>
          <t>Lihir Gold Limited</t>
        </is>
      </c>
      <c r="C153" t="n">
        <v>4</v>
      </c>
      <c r="D153" s="2" t="n">
        <v>0</v>
      </c>
      <c r="E153" s="2" t="n">
        <v>0</v>
      </c>
      <c r="F153" s="2" t="n">
        <v>1073800</v>
      </c>
      <c r="G153" s="2" t="n">
        <v>89396</v>
      </c>
      <c r="H153" t="inlineStr">
        <is>
          <t>Papua New Guinea</t>
        </is>
      </c>
      <c r="I153" t="inlineStr">
        <is>
          <t>AUD</t>
        </is>
      </c>
      <c r="J153" t="inlineStr">
        <is>
          <t>Caterpillar</t>
        </is>
      </c>
      <c r="K153" t="inlineStr">
        <is>
          <t>785</t>
        </is>
      </c>
      <c r="L153" s="4">
        <f>$D153*IF($I153="AUD",Assumptions!$B$2,Assumptions!$B$3)*Assumptions!$B$4</f>
        <v/>
      </c>
      <c r="M153" s="4">
        <f>$E153*IF($I153="AUD",Assumptions!$B$2,Assumptions!$B$3)*Assumptions!$B$4</f>
        <v/>
      </c>
      <c r="N153" s="4">
        <f>$F153*IF($I153="AUD",Assumptions!$B$2,Assumptions!$B$3)*Assumptions!$B$4</f>
        <v/>
      </c>
    </row>
    <row r="154">
      <c r="A154" t="inlineStr">
        <is>
          <t>FAULTY CHASSIS CAT 785D TRUCK PO REFERENCE : 450170897</t>
        </is>
      </c>
      <c r="B154" t="inlineStr">
        <is>
          <t>Lihir Gold Limited</t>
        </is>
      </c>
      <c r="C154" t="n">
        <v>1</v>
      </c>
      <c r="D154" s="2" t="n">
        <v>0</v>
      </c>
      <c r="E154" s="2" t="n">
        <v>0</v>
      </c>
      <c r="F154" s="2" t="n">
        <v>304945</v>
      </c>
      <c r="G154" s="2" t="n">
        <v>15800</v>
      </c>
      <c r="H154" t="inlineStr">
        <is>
          <t>Papua New Guinea</t>
        </is>
      </c>
      <c r="I154" t="inlineStr">
        <is>
          <t>AUD</t>
        </is>
      </c>
      <c r="J154" t="inlineStr">
        <is>
          <t>Caterpillar</t>
        </is>
      </c>
      <c r="K154" t="inlineStr">
        <is>
          <t>785</t>
        </is>
      </c>
      <c r="L154" s="4">
        <f>$D154*IF($I154="AUD",Assumptions!$B$2,Assumptions!$B$3)*Assumptions!$B$4</f>
        <v/>
      </c>
      <c r="M154" s="4">
        <f>$E154*IF($I154="AUD",Assumptions!$B$2,Assumptions!$B$3)*Assumptions!$B$4</f>
        <v/>
      </c>
      <c r="N154" s="4">
        <f>$F154*IF($I154="AUD",Assumptions!$B$2,Assumptions!$B$3)*Assumptions!$B$4</f>
        <v/>
      </c>
    </row>
    <row r="155">
      <c r="A155" t="inlineStr">
        <is>
          <t>HPT CAT 785D HAUL TRUCK TRAY C/W ACCESSORIESPO REFER</t>
        </is>
      </c>
      <c r="B155" t="inlineStr">
        <is>
          <t>Lihir Gold Limited</t>
        </is>
      </c>
      <c r="C155" t="n">
        <v>4</v>
      </c>
      <c r="D155" s="2" t="n">
        <v>2245.32</v>
      </c>
      <c r="E155" s="2" t="n">
        <v>21476</v>
      </c>
      <c r="F155" s="2" t="n">
        <v>1073800</v>
      </c>
      <c r="G155" s="2" t="n">
        <v>89396</v>
      </c>
      <c r="H155" t="inlineStr">
        <is>
          <t>Papua New Guinea</t>
        </is>
      </c>
      <c r="I155" t="inlineStr">
        <is>
          <t>AUD</t>
        </is>
      </c>
      <c r="J155" t="inlineStr">
        <is>
          <t>Caterpillar</t>
        </is>
      </c>
      <c r="K155" t="inlineStr">
        <is>
          <t>785</t>
        </is>
      </c>
      <c r="L155" s="4">
        <f>$D155*IF($I155="AUD",Assumptions!$B$2,Assumptions!$B$3)*Assumptions!$B$4</f>
        <v/>
      </c>
      <c r="M155" s="4">
        <f>$E155*IF($I155="AUD",Assumptions!$B$2,Assumptions!$B$3)*Assumptions!$B$4</f>
        <v/>
      </c>
      <c r="N155" s="4">
        <f>$F155*IF($I155="AUD",Assumptions!$B$2,Assumptions!$B$3)*Assumptions!$B$4</f>
        <v/>
      </c>
    </row>
    <row r="156">
      <c r="A156" t="inlineStr">
        <is>
          <t>HPT CAT 785D HAUL TRUCK TRAY C/W ACCESSORIES</t>
        </is>
      </c>
      <c r="B156" t="inlineStr">
        <is>
          <t>Lihir Gold Limited</t>
        </is>
      </c>
      <c r="C156" t="n">
        <v>4</v>
      </c>
      <c r="D156" s="2" t="n">
        <v>2245.32</v>
      </c>
      <c r="E156" s="2" t="n">
        <v>21476</v>
      </c>
      <c r="F156" s="2" t="n">
        <v>1073800</v>
      </c>
      <c r="G156" s="2" t="n">
        <v>89396</v>
      </c>
      <c r="H156" t="inlineStr">
        <is>
          <t>Papua New Guinea</t>
        </is>
      </c>
      <c r="I156" t="inlineStr">
        <is>
          <t>AUD</t>
        </is>
      </c>
      <c r="J156" t="inlineStr">
        <is>
          <t>Caterpillar</t>
        </is>
      </c>
      <c r="K156" t="inlineStr">
        <is>
          <t>785</t>
        </is>
      </c>
      <c r="L156" s="4">
        <f>$D156*IF($I156="AUD",Assumptions!$B$2,Assumptions!$B$3)*Assumptions!$B$4</f>
        <v/>
      </c>
      <c r="M156" s="4">
        <f>$E156*IF($I156="AUD",Assumptions!$B$2,Assumptions!$B$3)*Assumptions!$B$4</f>
        <v/>
      </c>
      <c r="N156" s="4">
        <f>$F156*IF($I156="AUD",Assumptions!$B$2,Assumptions!$B$3)*Assumptions!$B$4</f>
        <v/>
      </c>
    </row>
    <row r="157">
      <c r="A157" t="inlineStr">
        <is>
          <t>HPT CAT 785D HAUL TRUCK TRAY C/W ACCESSORIESPO. REFE</t>
        </is>
      </c>
      <c r="B157" t="inlineStr">
        <is>
          <t>Lihir Gold Limited</t>
        </is>
      </c>
      <c r="C157" t="n">
        <v>3</v>
      </c>
      <c r="D157" s="2" t="n">
        <v>0</v>
      </c>
      <c r="E157" s="2" t="n">
        <v>0</v>
      </c>
      <c r="F157" s="2" t="n">
        <v>792168</v>
      </c>
      <c r="G157" s="2" t="n">
        <v>67047</v>
      </c>
      <c r="H157" t="inlineStr">
        <is>
          <t>Papua New Guinea</t>
        </is>
      </c>
      <c r="I157" t="inlineStr">
        <is>
          <t>AUD</t>
        </is>
      </c>
      <c r="J157" t="inlineStr">
        <is>
          <t>Caterpillar</t>
        </is>
      </c>
      <c r="K157" t="inlineStr">
        <is>
          <t>785</t>
        </is>
      </c>
      <c r="L157" s="4">
        <f>$D157*IF($I157="AUD",Assumptions!$B$2,Assumptions!$B$3)*Assumptions!$B$4</f>
        <v/>
      </c>
      <c r="M157" s="4">
        <f>$E157*IF($I157="AUD",Assumptions!$B$2,Assumptions!$B$3)*Assumptions!$B$4</f>
        <v/>
      </c>
      <c r="N157" s="4">
        <f>$F157*IF($I157="AUD",Assumptions!$B$2,Assumptions!$B$3)*Assumptions!$B$4</f>
        <v/>
      </c>
    </row>
    <row r="158">
      <c r="A158" t="inlineStr">
        <is>
          <t>HPT CAT 785D HAUL TRUCK TRAY C/W ACCESSORIESPO. REFE</t>
        </is>
      </c>
      <c r="B158" t="inlineStr">
        <is>
          <t>Lihir Gold Limited</t>
        </is>
      </c>
      <c r="C158" t="n">
        <v>1</v>
      </c>
      <c r="D158" s="2" t="n">
        <v>0</v>
      </c>
      <c r="E158" s="2" t="n">
        <v>0</v>
      </c>
      <c r="F158" s="2" t="n">
        <v>268450</v>
      </c>
      <c r="G158" s="2" t="n">
        <v>22349</v>
      </c>
      <c r="H158" t="inlineStr">
        <is>
          <t>Papua New Guinea</t>
        </is>
      </c>
      <c r="I158" t="inlineStr">
        <is>
          <t>AUD</t>
        </is>
      </c>
      <c r="J158" t="inlineStr">
        <is>
          <t>Caterpillar</t>
        </is>
      </c>
      <c r="K158" t="inlineStr">
        <is>
          <t>785</t>
        </is>
      </c>
      <c r="L158" s="4">
        <f>$D158*IF($I158="AUD",Assumptions!$B$2,Assumptions!$B$3)*Assumptions!$B$4</f>
        <v/>
      </c>
      <c r="M158" s="4">
        <f>$E158*IF($I158="AUD",Assumptions!$B$2,Assumptions!$B$3)*Assumptions!$B$4</f>
        <v/>
      </c>
      <c r="N158" s="4">
        <f>$F158*IF($I158="AUD",Assumptions!$B$2,Assumptions!$B$3)*Assumptions!$B$4</f>
        <v/>
      </c>
    </row>
    <row r="159">
      <c r="A159" t="inlineStr">
        <is>
          <t>HPT CAT 785D HAUL TRUCK TRAY C/W ACCESSORIES PO REFE</t>
        </is>
      </c>
      <c r="B159" t="inlineStr">
        <is>
          <t>Lihir Gold Limited</t>
        </is>
      </c>
      <c r="C159" t="n">
        <v>5</v>
      </c>
      <c r="D159" s="2" t="n">
        <v>0</v>
      </c>
      <c r="E159" s="2" t="n">
        <v>0</v>
      </c>
      <c r="F159" s="2" t="n">
        <v>1742769.6</v>
      </c>
      <c r="G159" s="2" t="n">
        <v>111100</v>
      </c>
      <c r="H159" t="inlineStr">
        <is>
          <t>Papua New Guinea</t>
        </is>
      </c>
      <c r="I159" t="inlineStr">
        <is>
          <t>AUD</t>
        </is>
      </c>
      <c r="J159" t="inlineStr">
        <is>
          <t>Caterpillar</t>
        </is>
      </c>
      <c r="K159" t="inlineStr">
        <is>
          <t>785</t>
        </is>
      </c>
      <c r="L159" s="4">
        <f>$D159*IF($I159="AUD",Assumptions!$B$2,Assumptions!$B$3)*Assumptions!$B$4</f>
        <v/>
      </c>
      <c r="M159" s="4">
        <f>$E159*IF($I159="AUD",Assumptions!$B$2,Assumptions!$B$3)*Assumptions!$B$4</f>
        <v/>
      </c>
      <c r="N159" s="4">
        <f>$F159*IF($I159="AUD",Assumptions!$B$2,Assumptions!$B$3)*Assumptions!$B$4</f>
        <v/>
      </c>
    </row>
    <row r="160">
      <c r="A160" t="inlineStr">
        <is>
          <t>HPT CAT 785D HAUL TRUCK TRAY C/W ACCESSORIES PO REFE</t>
        </is>
      </c>
      <c r="B160" t="inlineStr">
        <is>
          <t>Lihir Gold Limited</t>
        </is>
      </c>
      <c r="C160" t="n">
        <v>3</v>
      </c>
      <c r="D160" s="2" t="n">
        <v>0</v>
      </c>
      <c r="E160" s="2" t="n">
        <v>0</v>
      </c>
      <c r="F160" s="2" t="n">
        <v>1056223.98</v>
      </c>
      <c r="G160" s="2" t="n">
        <v>66660</v>
      </c>
      <c r="H160" t="inlineStr">
        <is>
          <t>Papua New Guinea</t>
        </is>
      </c>
      <c r="I160" t="inlineStr">
        <is>
          <t>AUD</t>
        </is>
      </c>
      <c r="J160" t="inlineStr">
        <is>
          <t>Caterpillar</t>
        </is>
      </c>
      <c r="K160" t="inlineStr">
        <is>
          <t>785</t>
        </is>
      </c>
      <c r="L160" s="4">
        <f>$D160*IF($I160="AUD",Assumptions!$B$2,Assumptions!$B$3)*Assumptions!$B$4</f>
        <v/>
      </c>
      <c r="M160" s="4">
        <f>$E160*IF($I160="AUD",Assumptions!$B$2,Assumptions!$B$3)*Assumptions!$B$4</f>
        <v/>
      </c>
      <c r="N160" s="4">
        <f>$F160*IF($I160="AUD",Assumptions!$B$2,Assumptions!$B$3)*Assumptions!$B$4</f>
        <v/>
      </c>
    </row>
    <row r="161">
      <c r="A161" t="inlineStr">
        <is>
          <t>CAT 785D HAUL TRUCK TRAY C/W ACCESSORIES</t>
        </is>
      </c>
      <c r="B161" t="inlineStr">
        <is>
          <t>Lihir Gold Limited</t>
        </is>
      </c>
      <c r="C161" t="n">
        <v>4</v>
      </c>
      <c r="D161" s="2" t="n">
        <v>2209.21</v>
      </c>
      <c r="E161" s="2" t="n">
        <v>21441.3</v>
      </c>
      <c r="F161" s="2" t="n">
        <v>1056220</v>
      </c>
      <c r="G161" s="2" t="n">
        <v>88192</v>
      </c>
      <c r="H161" t="inlineStr">
        <is>
          <t>Papua New Guinea</t>
        </is>
      </c>
      <c r="I161" t="inlineStr">
        <is>
          <t>AUD</t>
        </is>
      </c>
      <c r="J161" t="inlineStr">
        <is>
          <t>Caterpillar</t>
        </is>
      </c>
      <c r="K161" t="inlineStr">
        <is>
          <t>785</t>
        </is>
      </c>
      <c r="L161" s="4">
        <f>$D161*IF($I161="AUD",Assumptions!$B$2,Assumptions!$B$3)*Assumptions!$B$4</f>
        <v/>
      </c>
      <c r="M161" s="4">
        <f>$E161*IF($I161="AUD",Assumptions!$B$2,Assumptions!$B$3)*Assumptions!$B$4</f>
        <v/>
      </c>
      <c r="N161" s="4">
        <f>$F161*IF($I161="AUD",Assumptions!$B$2,Assumptions!$B$3)*Assumptions!$B$4</f>
        <v/>
      </c>
    </row>
    <row r="162">
      <c r="A162" t="inlineStr">
        <is>
          <t>CAT 785D HAUL TRUCK TRAY C/W ACCESSORIES</t>
        </is>
      </c>
      <c r="B162" t="inlineStr">
        <is>
          <t>Lihir Gold Limited</t>
        </is>
      </c>
      <c r="C162" t="n">
        <v>4</v>
      </c>
      <c r="D162" s="2" t="n">
        <v>2209.21</v>
      </c>
      <c r="E162" s="2" t="n">
        <v>21441.3</v>
      </c>
      <c r="F162" s="2" t="n">
        <v>1056220</v>
      </c>
      <c r="G162" s="2" t="n">
        <v>88192</v>
      </c>
      <c r="H162" t="inlineStr">
        <is>
          <t>Papua New Guinea</t>
        </is>
      </c>
      <c r="I162" t="inlineStr">
        <is>
          <t>AUD</t>
        </is>
      </c>
      <c r="J162" t="inlineStr">
        <is>
          <t>Caterpillar</t>
        </is>
      </c>
      <c r="K162" t="inlineStr">
        <is>
          <t>785</t>
        </is>
      </c>
      <c r="L162" s="4">
        <f>$D162*IF($I162="AUD",Assumptions!$B$2,Assumptions!$B$3)*Assumptions!$B$4</f>
        <v/>
      </c>
      <c r="M162" s="4">
        <f>$E162*IF($I162="AUD",Assumptions!$B$2,Assumptions!$B$3)*Assumptions!$B$4</f>
        <v/>
      </c>
      <c r="N162" s="4">
        <f>$F162*IF($I162="AUD",Assumptions!$B$2,Assumptions!$B$3)*Assumptions!$B$4</f>
        <v/>
      </c>
    </row>
    <row r="163">
      <c r="A163" t="inlineStr">
        <is>
          <t>CAT 777E Û ULTIMA BODY SG 1.9 C/W ACCESSORIES</t>
        </is>
      </c>
      <c r="B163" t="inlineStr">
        <is>
          <t>Kibali Gold Mines SA KGM</t>
        </is>
      </c>
      <c r="C163" t="n">
        <v>3</v>
      </c>
      <c r="D163" s="2" t="n">
        <v>954.67</v>
      </c>
      <c r="E163" s="2" t="n">
        <v>22302.6</v>
      </c>
      <c r="F163" s="2" t="n">
        <v>443391</v>
      </c>
      <c r="G163" s="2" t="n">
        <v>47010</v>
      </c>
      <c r="H163" t="inlineStr">
        <is>
          <t>Democratic Republic of Congo</t>
        </is>
      </c>
      <c r="I163" t="inlineStr">
        <is>
          <t>USD</t>
        </is>
      </c>
      <c r="J163" t="inlineStr">
        <is>
          <t>Caterpillar</t>
        </is>
      </c>
      <c r="K163" t="inlineStr">
        <is>
          <t>777</t>
        </is>
      </c>
      <c r="L163" s="4">
        <f>$D163*IF($I163="AUD",Assumptions!$B$2,Assumptions!$B$3)*Assumptions!$B$4</f>
        <v/>
      </c>
      <c r="M163" s="4">
        <f>$E163*IF($I163="AUD",Assumptions!$B$2,Assumptions!$B$3)*Assumptions!$B$4</f>
        <v/>
      </c>
      <c r="N163" s="4">
        <f>$F163*IF($I163="AUD",Assumptions!$B$2,Assumptions!$B$3)*Assumptions!$B$4</f>
        <v/>
      </c>
    </row>
    <row r="164">
      <c r="A164" t="inlineStr">
        <is>
          <t>CAT 777E Û ULTIMA BODY SG 1.9 C/W ACCESSORIES</t>
        </is>
      </c>
      <c r="B164" t="inlineStr">
        <is>
          <t>Kibali Gold Mines SA KGM</t>
        </is>
      </c>
      <c r="C164" t="n">
        <v>2</v>
      </c>
      <c r="D164" s="2" t="n">
        <v>636.45</v>
      </c>
      <c r="E164" s="2" t="n">
        <v>14868.4</v>
      </c>
      <c r="F164" s="2" t="n">
        <v>295594</v>
      </c>
      <c r="G164" s="2" t="n">
        <v>31340</v>
      </c>
      <c r="H164" t="inlineStr">
        <is>
          <t>Democratic Republic of Congo</t>
        </is>
      </c>
      <c r="I164" t="inlineStr">
        <is>
          <t>USD</t>
        </is>
      </c>
      <c r="J164" t="inlineStr">
        <is>
          <t>Caterpillar</t>
        </is>
      </c>
      <c r="K164" t="inlineStr">
        <is>
          <t>777</t>
        </is>
      </c>
      <c r="L164" s="4">
        <f>$D164*IF($I164="AUD",Assumptions!$B$2,Assumptions!$B$3)*Assumptions!$B$4</f>
        <v/>
      </c>
      <c r="M164" s="4">
        <f>$E164*IF($I164="AUD",Assumptions!$B$2,Assumptions!$B$3)*Assumptions!$B$4</f>
        <v/>
      </c>
      <c r="N164" s="4">
        <f>$F164*IF($I164="AUD",Assumptions!$B$2,Assumptions!$B$3)*Assumptions!$B$4</f>
        <v/>
      </c>
    </row>
    <row r="165">
      <c r="A165" t="inlineStr">
        <is>
          <t>CAT 777E – ULTIMA BODY SG 1.9 C/W ACCESSORIES</t>
        </is>
      </c>
      <c r="B165" t="inlineStr">
        <is>
          <t>Kibali Gold Mines SA KGM</t>
        </is>
      </c>
      <c r="C165" t="n">
        <v>2</v>
      </c>
      <c r="D165" s="2" t="n">
        <v>642.58</v>
      </c>
      <c r="E165" s="2" t="n">
        <v>15011.7</v>
      </c>
      <c r="F165" s="2" t="n">
        <v>298444</v>
      </c>
      <c r="G165" s="2" t="n">
        <v>31340</v>
      </c>
      <c r="H165" t="inlineStr">
        <is>
          <t>Democratic Republic of Congo</t>
        </is>
      </c>
      <c r="I165" t="inlineStr">
        <is>
          <t>USD</t>
        </is>
      </c>
      <c r="J165" t="inlineStr">
        <is>
          <t>Caterpillar</t>
        </is>
      </c>
      <c r="K165" t="inlineStr">
        <is>
          <t>777</t>
        </is>
      </c>
      <c r="L165" s="4">
        <f>$D165*IF($I165="AUD",Assumptions!$B$2,Assumptions!$B$3)*Assumptions!$B$4</f>
        <v/>
      </c>
      <c r="M165" s="4">
        <f>$E165*IF($I165="AUD",Assumptions!$B$2,Assumptions!$B$3)*Assumptions!$B$4</f>
        <v/>
      </c>
      <c r="N165" s="4">
        <f>$F165*IF($I165="AUD",Assumptions!$B$2,Assumptions!$B$3)*Assumptions!$B$4</f>
        <v/>
      </c>
    </row>
    <row r="166">
      <c r="A166" t="inlineStr">
        <is>
          <t>CAT 777E – ULTIMA BODY SG 1.9 C/W ACCESSORIES</t>
        </is>
      </c>
      <c r="B166" t="inlineStr">
        <is>
          <t>Kibali Gold Mines SA KGM</t>
        </is>
      </c>
      <c r="C166" t="n">
        <v>6</v>
      </c>
      <c r="D166" s="2" t="n">
        <v>1915.48</v>
      </c>
      <c r="E166" s="2" t="n">
        <v>44748.5</v>
      </c>
      <c r="F166" s="2" t="n">
        <v>889632</v>
      </c>
      <c r="G166" s="2" t="n">
        <v>94020</v>
      </c>
      <c r="H166" t="inlineStr">
        <is>
          <t>Democratic Republic of Congo</t>
        </is>
      </c>
      <c r="I166" t="inlineStr">
        <is>
          <t>USD</t>
        </is>
      </c>
      <c r="J166" t="inlineStr">
        <is>
          <t>Caterpillar</t>
        </is>
      </c>
      <c r="K166" t="inlineStr">
        <is>
          <t>777</t>
        </is>
      </c>
      <c r="L166" s="4">
        <f>$D166*IF($I166="AUD",Assumptions!$B$2,Assumptions!$B$3)*Assumptions!$B$4</f>
        <v/>
      </c>
      <c r="M166" s="4">
        <f>$E166*IF($I166="AUD",Assumptions!$B$2,Assumptions!$B$3)*Assumptions!$B$4</f>
        <v/>
      </c>
      <c r="N166" s="4">
        <f>$F166*IF($I166="AUD",Assumptions!$B$2,Assumptions!$B$3)*Assumptions!$B$4</f>
        <v/>
      </c>
    </row>
    <row r="167">
      <c r="A167" t="inlineStr">
        <is>
          <t>AUSTIN ULTIMA TRUCK BODY FOR 777 E OR D INCLUDING: CEN</t>
        </is>
      </c>
      <c r="B167" t="inlineStr">
        <is>
          <t>Gounkoto SA</t>
        </is>
      </c>
      <c r="C167" t="n">
        <v>13</v>
      </c>
      <c r="D167" s="2" t="n">
        <v>3729.33</v>
      </c>
      <c r="E167" s="2" t="n">
        <v>67515.77</v>
      </c>
      <c r="F167" s="2" t="n">
        <v>1661400</v>
      </c>
      <c r="G167" s="2" t="n">
        <v>218000</v>
      </c>
      <c r="H167" t="inlineStr">
        <is>
          <t>Mali</t>
        </is>
      </c>
      <c r="I167" t="inlineStr">
        <is>
          <t>USD</t>
        </is>
      </c>
      <c r="J167" t="inlineStr">
        <is>
          <t>Caterpillar</t>
        </is>
      </c>
      <c r="K167" t="inlineStr">
        <is>
          <t>777</t>
        </is>
      </c>
      <c r="L167" s="4">
        <f>$D167*IF($I167="AUD",Assumptions!$B$2,Assumptions!$B$3)*Assumptions!$B$4</f>
        <v/>
      </c>
      <c r="M167" s="4">
        <f>$E167*IF($I167="AUD",Assumptions!$B$2,Assumptions!$B$3)*Assumptions!$B$4</f>
        <v/>
      </c>
      <c r="N167" s="4">
        <f>$F167*IF($I167="AUD",Assumptions!$B$2,Assumptions!$B$3)*Assumptions!$B$4</f>
        <v/>
      </c>
    </row>
    <row r="168">
      <c r="A168" t="inlineStr">
        <is>
          <t>CATERPILLAR 777E TRUCK BODY + LINER KIT OM 1/3 COVERAGE</t>
        </is>
      </c>
      <c r="B168" t="inlineStr">
        <is>
          <t>Fekola SA</t>
        </is>
      </c>
      <c r="C168" t="n">
        <v>2</v>
      </c>
      <c r="D168" s="2" t="n">
        <v>717.29</v>
      </c>
      <c r="E168" s="2" t="n">
        <v>12985.9</v>
      </c>
      <c r="F168" s="2" t="n">
        <v>320639</v>
      </c>
      <c r="G168" s="2" t="n">
        <v>33516</v>
      </c>
      <c r="H168" t="inlineStr">
        <is>
          <t>Mali</t>
        </is>
      </c>
      <c r="I168" t="inlineStr">
        <is>
          <t>USD</t>
        </is>
      </c>
      <c r="J168" t="inlineStr">
        <is>
          <t>Caterpillar</t>
        </is>
      </c>
      <c r="K168" t="inlineStr">
        <is>
          <t>777</t>
        </is>
      </c>
      <c r="L168" s="4">
        <f>$D168*IF($I168="AUD",Assumptions!$B$2,Assumptions!$B$3)*Assumptions!$B$4</f>
        <v/>
      </c>
      <c r="M168" s="4">
        <f>$E168*IF($I168="AUD",Assumptions!$B$2,Assumptions!$B$3)*Assumptions!$B$4</f>
        <v/>
      </c>
      <c r="N168" s="4">
        <f>$F168*IF($I168="AUD",Assumptions!$B$2,Assumptions!$B$3)*Assumptions!$B$4</f>
        <v/>
      </c>
    </row>
    <row r="169">
      <c r="A169" t="inlineStr">
        <is>
          <t>KOMATSU HD785-7 ULTIMA TRUCK BODY</t>
        </is>
      </c>
      <c r="B169" t="inlineStr">
        <is>
          <t>Gounkoto SA</t>
        </is>
      </c>
      <c r="C169" t="n">
        <v>9</v>
      </c>
      <c r="D169" s="2" t="n">
        <v>2400.05</v>
      </c>
      <c r="E169" s="2" t="n">
        <v>43450.6</v>
      </c>
      <c r="F169" s="2" t="n">
        <v>1072850</v>
      </c>
      <c r="G169" s="2" t="n">
        <v>132588</v>
      </c>
      <c r="H169" t="inlineStr">
        <is>
          <t>Mali</t>
        </is>
      </c>
      <c r="I169" t="inlineStr">
        <is>
          <t>USD</t>
        </is>
      </c>
      <c r="J169" t="inlineStr">
        <is>
          <t>Komatsu</t>
        </is>
      </c>
      <c r="K169" t="inlineStr">
        <is>
          <t>HD785-7</t>
        </is>
      </c>
      <c r="L169" s="4">
        <f>$D169*IF($I169="AUD",Assumptions!$B$2,Assumptions!$B$3)*Assumptions!$B$4</f>
        <v/>
      </c>
      <c r="M169" s="4">
        <f>$E169*IF($I169="AUD",Assumptions!$B$2,Assumptions!$B$3)*Assumptions!$B$4</f>
        <v/>
      </c>
      <c r="N169" s="4">
        <f>$F169*IF($I169="AUD",Assumptions!$B$2,Assumptions!$B$3)*Assumptions!$B$4</f>
        <v/>
      </c>
    </row>
    <row r="170">
      <c r="A170" t="inlineStr">
        <is>
          <t>KOMATSU HD785-7 ULTIMA TRUCK BODY</t>
        </is>
      </c>
      <c r="B170" t="inlineStr">
        <is>
          <t>Gounkoto SA</t>
        </is>
      </c>
      <c r="C170" t="n">
        <v>2</v>
      </c>
      <c r="D170" s="2" t="n">
        <v>533.35</v>
      </c>
      <c r="E170" s="2" t="n">
        <v>9655.690000000001</v>
      </c>
      <c r="F170" s="2" t="n">
        <v>238412</v>
      </c>
      <c r="G170" s="2" t="n">
        <v>29464</v>
      </c>
      <c r="H170" t="inlineStr">
        <is>
          <t>Mali</t>
        </is>
      </c>
      <c r="I170" t="inlineStr">
        <is>
          <t>USD</t>
        </is>
      </c>
      <c r="J170" t="inlineStr">
        <is>
          <t>Komatsu</t>
        </is>
      </c>
      <c r="K170" t="inlineStr">
        <is>
          <t>HD785-7</t>
        </is>
      </c>
      <c r="L170" s="4">
        <f>$D170*IF($I170="AUD",Assumptions!$B$2,Assumptions!$B$3)*Assumptions!$B$4</f>
        <v/>
      </c>
      <c r="M170" s="4">
        <f>$E170*IF($I170="AUD",Assumptions!$B$2,Assumptions!$B$3)*Assumptions!$B$4</f>
        <v/>
      </c>
      <c r="N170" s="4">
        <f>$F170*IF($I170="AUD",Assumptions!$B$2,Assumptions!$B$3)*Assumptions!$B$4</f>
        <v/>
      </c>
    </row>
    <row r="171">
      <c r="A171" t="inlineStr">
        <is>
          <t>KOMATSU HD785-7 ULTIMA TRUCK BODY</t>
        </is>
      </c>
      <c r="B171" t="inlineStr">
        <is>
          <t>Gounkoto SA</t>
        </is>
      </c>
      <c r="C171" t="n">
        <v>7</v>
      </c>
      <c r="D171" s="2" t="n">
        <v>1866.71</v>
      </c>
      <c r="E171" s="2" t="n">
        <v>33794.9</v>
      </c>
      <c r="F171" s="2" t="n">
        <v>834442</v>
      </c>
      <c r="G171" s="2" t="n">
        <v>103124</v>
      </c>
      <c r="H171" t="inlineStr">
        <is>
          <t>Mali</t>
        </is>
      </c>
      <c r="I171" t="inlineStr">
        <is>
          <t>USD</t>
        </is>
      </c>
      <c r="J171" t="inlineStr">
        <is>
          <t>Komatsu</t>
        </is>
      </c>
      <c r="K171" t="inlineStr">
        <is>
          <t>HD785-7</t>
        </is>
      </c>
      <c r="L171" s="4">
        <f>$D171*IF($I171="AUD",Assumptions!$B$2,Assumptions!$B$3)*Assumptions!$B$4</f>
        <v/>
      </c>
      <c r="M171" s="4">
        <f>$E171*IF($I171="AUD",Assumptions!$B$2,Assumptions!$B$3)*Assumptions!$B$4</f>
        <v/>
      </c>
      <c r="N171" s="4">
        <f>$F171*IF($I171="AUD",Assumptions!$B$2,Assumptions!$B$3)*Assumptions!$B$4</f>
        <v/>
      </c>
    </row>
    <row r="172">
      <c r="A172" t="inlineStr">
        <is>
          <t>HITACHI EH4000AC-3 JEC-2026B108 DUMP BODY C/</t>
        </is>
      </c>
      <c r="B172" t="inlineStr">
        <is>
          <t>Tuprag Metal Madencilik</t>
        </is>
      </c>
      <c r="C172" t="n">
        <v>1</v>
      </c>
      <c r="D172" s="2" t="n">
        <v>0</v>
      </c>
      <c r="E172" s="2" t="n">
        <v>0</v>
      </c>
      <c r="F172" s="2" t="n">
        <v>310679.4</v>
      </c>
      <c r="G172" s="2" t="n">
        <v>33296.16</v>
      </c>
      <c r="H172" t="inlineStr">
        <is>
          <t>Turkey</t>
        </is>
      </c>
      <c r="I172" t="inlineStr">
        <is>
          <t>USD</t>
        </is>
      </c>
      <c r="J172" t="inlineStr">
        <is>
          <t>Hitachi</t>
        </is>
      </c>
      <c r="K172" t="inlineStr">
        <is>
          <t>EH4000AC-3</t>
        </is>
      </c>
      <c r="L172" s="4">
        <f>$D172*IF($I172="AUD",Assumptions!$B$2,Assumptions!$B$3)*Assumptions!$B$4</f>
        <v/>
      </c>
      <c r="M172" s="4">
        <f>$E172*IF($I172="AUD",Assumptions!$B$2,Assumptions!$B$3)*Assumptions!$B$4</f>
        <v/>
      </c>
      <c r="N172" s="4">
        <f>$F172*IF($I172="AUD",Assumptions!$B$2,Assumptions!$B$3)*Assumptions!$B$4</f>
        <v/>
      </c>
    </row>
    <row r="173">
      <c r="A173" t="inlineStr">
        <is>
          <t>CAT 785C AUSTIN LIGHTER TRUCK DUMP BODY C/W</t>
        </is>
      </c>
      <c r="B173" t="inlineStr">
        <is>
          <t>Tuprag Metal Madencilik</t>
        </is>
      </c>
      <c r="C173" t="n">
        <v>4</v>
      </c>
      <c r="D173" s="2" t="n">
        <v>0</v>
      </c>
      <c r="E173" s="2" t="n">
        <v>0</v>
      </c>
      <c r="F173" s="2" t="n">
        <v>1241133.4</v>
      </c>
      <c r="G173" s="2" t="n">
        <v>101748</v>
      </c>
      <c r="H173" t="inlineStr">
        <is>
          <t>Turkey</t>
        </is>
      </c>
      <c r="I173" t="inlineStr">
        <is>
          <t>USD</t>
        </is>
      </c>
      <c r="J173" t="inlineStr">
        <is>
          <t>Caterpillar</t>
        </is>
      </c>
      <c r="K173" t="inlineStr">
        <is>
          <t>785</t>
        </is>
      </c>
      <c r="L173" s="4">
        <f>$D173*IF($I173="AUD",Assumptions!$B$2,Assumptions!$B$3)*Assumptions!$B$4</f>
        <v/>
      </c>
      <c r="M173" s="4">
        <f>$E173*IF($I173="AUD",Assumptions!$B$2,Assumptions!$B$3)*Assumptions!$B$4</f>
        <v/>
      </c>
      <c r="N173" s="4">
        <f>$F173*IF($I173="AUD",Assumptions!$B$2,Assumptions!$B$3)*Assumptions!$B$4</f>
        <v/>
      </c>
    </row>
    <row r="174">
      <c r="A174" t="inlineStr">
        <is>
          <t>CAT785C JEC TRUCK BODY C/W ACCESSORIES</t>
        </is>
      </c>
      <c r="B174" t="inlineStr">
        <is>
          <t>Tuprag Metal Madencilik</t>
        </is>
      </c>
      <c r="C174" t="n">
        <v>8</v>
      </c>
      <c r="D174" s="2" t="n">
        <v>2687.89</v>
      </c>
      <c r="E174" s="2" t="n">
        <v>26087.1</v>
      </c>
      <c r="F174" s="2" t="n">
        <v>1285080</v>
      </c>
      <c r="G174" s="2" t="n">
        <v>184000</v>
      </c>
      <c r="H174" t="inlineStr">
        <is>
          <t>Turkey</t>
        </is>
      </c>
      <c r="I174" t="inlineStr">
        <is>
          <t>USD</t>
        </is>
      </c>
      <c r="J174" t="inlineStr">
        <is>
          <t>Caterpillar</t>
        </is>
      </c>
      <c r="K174" t="inlineStr">
        <is>
          <t>785</t>
        </is>
      </c>
      <c r="L174" s="4">
        <f>$D174*IF($I174="AUD",Assumptions!$B$2,Assumptions!$B$3)*Assumptions!$B$4</f>
        <v/>
      </c>
      <c r="M174" s="4">
        <f>$E174*IF($I174="AUD",Assumptions!$B$2,Assumptions!$B$3)*Assumptions!$B$4</f>
        <v/>
      </c>
      <c r="N174" s="4">
        <f>$F174*IF($I174="AUD",Assumptions!$B$2,Assumptions!$B$3)*Assumptions!$B$4</f>
        <v/>
      </c>
    </row>
    <row r="175">
      <c r="A175" t="inlineStr">
        <is>
          <t>EH4000AC-3 JEC TRUCK BODY C/W ACCESSORIES</t>
        </is>
      </c>
      <c r="B175" t="inlineStr">
        <is>
          <t>Tuprag Metal Madencilik</t>
        </is>
      </c>
      <c r="C175" t="n">
        <v>1</v>
      </c>
      <c r="D175" s="2" t="n">
        <v>862.1</v>
      </c>
      <c r="E175" s="2" t="n">
        <v>8367.049999999999</v>
      </c>
      <c r="F175" s="2" t="n">
        <v>232635</v>
      </c>
      <c r="G175" s="2" t="n">
        <v>32000</v>
      </c>
      <c r="H175" t="inlineStr">
        <is>
          <t>Turkey</t>
        </is>
      </c>
      <c r="I175" t="inlineStr">
        <is>
          <t>USD</t>
        </is>
      </c>
      <c r="J175" t="inlineStr">
        <is>
          <t>Hitachi</t>
        </is>
      </c>
      <c r="K175" t="inlineStr">
        <is>
          <t>EH4000AC-3</t>
        </is>
      </c>
      <c r="L175" s="4">
        <f>$D175*IF($I175="AUD",Assumptions!$B$2,Assumptions!$B$3)*Assumptions!$B$4</f>
        <v/>
      </c>
      <c r="M175" s="4">
        <f>$E175*IF($I175="AUD",Assumptions!$B$2,Assumptions!$B$3)*Assumptions!$B$4</f>
        <v/>
      </c>
      <c r="N175" s="4">
        <f>$F175*IF($I175="AUD",Assumptions!$B$2,Assumptions!$B$3)*Assumptions!$B$4</f>
        <v/>
      </c>
    </row>
    <row r="176">
      <c r="A176" t="inlineStr">
        <is>
          <t>CAT785C JEC TRUCK BODY C/W ACCESSORIES</t>
        </is>
      </c>
      <c r="B176" t="inlineStr">
        <is>
          <t>Tuprag Metal Madencilik</t>
        </is>
      </c>
      <c r="C176" t="n">
        <v>1</v>
      </c>
      <c r="D176" s="2" t="n">
        <v>862.1</v>
      </c>
      <c r="E176" s="2" t="n">
        <v>8367.049999999999</v>
      </c>
      <c r="F176" s="2" t="n">
        <v>179535</v>
      </c>
      <c r="G176" s="2" t="n">
        <v>23000</v>
      </c>
      <c r="H176" t="inlineStr">
        <is>
          <t>Turkey</t>
        </is>
      </c>
      <c r="I176" t="inlineStr">
        <is>
          <t>USD</t>
        </is>
      </c>
      <c r="J176" t="inlineStr">
        <is>
          <t>Caterpillar</t>
        </is>
      </c>
      <c r="K176" t="inlineStr">
        <is>
          <t>785</t>
        </is>
      </c>
      <c r="L176" s="4">
        <f>$D176*IF($I176="AUD",Assumptions!$B$2,Assumptions!$B$3)*Assumptions!$B$4</f>
        <v/>
      </c>
      <c r="M176" s="4">
        <f>$E176*IF($I176="AUD",Assumptions!$B$2,Assumptions!$B$3)*Assumptions!$B$4</f>
        <v/>
      </c>
      <c r="N176" s="4">
        <f>$F176*IF($I176="AUD",Assumptions!$B$2,Assumptions!$B$3)*Assumptions!$B$4</f>
        <v/>
      </c>
    </row>
    <row r="177">
      <c r="A177" t="inlineStr">
        <is>
          <t>KOMATSU HD 785 - 7 ULTB - 176626D TRUCK BODY C/W ACCES</t>
        </is>
      </c>
      <c r="B177" t="inlineStr">
        <is>
          <t>Tata Steel Limited</t>
        </is>
      </c>
      <c r="C177" t="n">
        <v>3</v>
      </c>
      <c r="D177" s="2" t="n">
        <v>0</v>
      </c>
      <c r="E177" s="2" t="n">
        <v>0</v>
      </c>
      <c r="F177" s="2" t="n">
        <v>314070</v>
      </c>
      <c r="G177" s="2" t="n">
        <v>43365</v>
      </c>
      <c r="H177" t="inlineStr">
        <is>
          <t>India</t>
        </is>
      </c>
      <c r="I177" t="inlineStr">
        <is>
          <t>USD</t>
        </is>
      </c>
      <c r="J177" t="inlineStr">
        <is>
          <t>Komatsu</t>
        </is>
      </c>
      <c r="K177" t="inlineStr">
        <is>
          <t>HD785-7</t>
        </is>
      </c>
      <c r="L177" s="4">
        <f>$D177*IF($I177="AUD",Assumptions!$B$2,Assumptions!$B$3)*Assumptions!$B$4</f>
        <v/>
      </c>
      <c r="M177" s="4">
        <f>$E177*IF($I177="AUD",Assumptions!$B$2,Assumptions!$B$3)*Assumptions!$B$4</f>
        <v/>
      </c>
      <c r="N177" s="4">
        <f>$F177*IF($I177="AUD",Assumptions!$B$2,Assumptions!$B$3)*Assumptions!$B$4</f>
        <v/>
      </c>
    </row>
    <row r="178">
      <c r="A178" t="inlineStr">
        <is>
          <t>KOMATSU HD785-7 JEC LD BODY - 177935 C/W ACCESSORIESP</t>
        </is>
      </c>
      <c r="B178" t="inlineStr">
        <is>
          <t>Thriveni Sainik Mining Private Limited</t>
        </is>
      </c>
      <c r="C178" t="n">
        <v>2</v>
      </c>
      <c r="D178" s="2" t="n">
        <v>434.09</v>
      </c>
      <c r="E178" s="2" t="n">
        <v>4152</v>
      </c>
      <c r="F178" s="2" t="n">
        <v>207600</v>
      </c>
      <c r="G178" s="2" t="n">
        <v>35798</v>
      </c>
      <c r="H178" t="inlineStr">
        <is>
          <t>India</t>
        </is>
      </c>
      <c r="I178" t="inlineStr">
        <is>
          <t>USD</t>
        </is>
      </c>
      <c r="J178" t="inlineStr">
        <is>
          <t>Komatsu</t>
        </is>
      </c>
      <c r="K178" t="inlineStr">
        <is>
          <t>HD785-7</t>
        </is>
      </c>
      <c r="L178" s="4">
        <f>$D178*IF($I178="AUD",Assumptions!$B$2,Assumptions!$B$3)*Assumptions!$B$4</f>
        <v/>
      </c>
      <c r="M178" s="4">
        <f>$E178*IF($I178="AUD",Assumptions!$B$2,Assumptions!$B$3)*Assumptions!$B$4</f>
        <v/>
      </c>
      <c r="N178" s="4">
        <f>$F178*IF($I178="AUD",Assumptions!$B$2,Assumptions!$B$3)*Assumptions!$B$4</f>
        <v/>
      </c>
    </row>
    <row r="179">
      <c r="A179" t="inlineStr">
        <is>
          <t>SUPPLY OF 5 UNITS AUSTIN MAKE ULTIMA BODY FOR KOMATS</t>
        </is>
      </c>
      <c r="B179" t="inlineStr">
        <is>
          <t>Thriveni Earthmovers and Infra Private</t>
        </is>
      </c>
      <c r="C179" t="n">
        <v>5</v>
      </c>
      <c r="D179" s="2" t="n">
        <v>1032.79</v>
      </c>
      <c r="E179" s="2" t="n">
        <v>9878.4</v>
      </c>
      <c r="F179" s="2" t="n">
        <v>493920</v>
      </c>
      <c r="G179" s="2" t="n">
        <v>72275</v>
      </c>
      <c r="H179" t="inlineStr">
        <is>
          <t>India</t>
        </is>
      </c>
      <c r="I179" t="inlineStr">
        <is>
          <t>USD</t>
        </is>
      </c>
      <c r="J179" t="inlineStr">
        <is>
          <t>Komatsu</t>
        </is>
      </c>
      <c r="K179" t="inlineStr">
        <is>
          <t>HD785-7</t>
        </is>
      </c>
      <c r="L179" s="4">
        <f>$D179*IF($I179="AUD",Assumptions!$B$2,Assumptions!$B$3)*Assumptions!$B$4</f>
        <v/>
      </c>
      <c r="M179" s="4">
        <f>$E179*IF($I179="AUD",Assumptions!$B$2,Assumptions!$B$3)*Assumptions!$B$4</f>
        <v/>
      </c>
      <c r="N179" s="4">
        <f>$F179*IF($I179="AUD",Assumptions!$B$2,Assumptions!$B$3)*Assumptions!$B$4</f>
        <v/>
      </c>
    </row>
    <row r="180">
      <c r="A180" t="inlineStr">
        <is>
          <t>TATA STEEL KOMATSU HD785-7 ULTIMA ULTIMA TRUCK BODY</t>
        </is>
      </c>
      <c r="B180" t="inlineStr">
        <is>
          <t>Tata Steel Limited</t>
        </is>
      </c>
      <c r="C180" t="n">
        <v>4</v>
      </c>
      <c r="D180" s="2" t="n">
        <v>0</v>
      </c>
      <c r="E180" s="2" t="n">
        <v>5600</v>
      </c>
      <c r="F180" s="2" t="n">
        <v>403002</v>
      </c>
      <c r="G180" s="2" t="n">
        <v>55796</v>
      </c>
      <c r="H180" t="inlineStr">
        <is>
          <t>India</t>
        </is>
      </c>
      <c r="I180" t="inlineStr">
        <is>
          <t>USD</t>
        </is>
      </c>
      <c r="J180" t="inlineStr">
        <is>
          <t>Komatsu</t>
        </is>
      </c>
      <c r="K180" t="inlineStr">
        <is>
          <t>HD785-7</t>
        </is>
      </c>
      <c r="L180" s="4">
        <f>$D180*IF($I180="AUD",Assumptions!$B$2,Assumptions!$B$3)*Assumptions!$B$4</f>
        <v/>
      </c>
      <c r="M180" s="4">
        <f>$E180*IF($I180="AUD",Assumptions!$B$2,Assumptions!$B$3)*Assumptions!$B$4</f>
        <v/>
      </c>
      <c r="N180" s="4">
        <f>$F180*IF($I180="AUD",Assumptions!$B$2,Assumptions!$B$3)*Assumptions!$B$4</f>
        <v/>
      </c>
    </row>
    <row r="181">
      <c r="A181" t="inlineStr">
        <is>
          <t>TATA STEEL KOMATSU HD785-7 ULTIMA ULTIMA TRUCK BODY</t>
        </is>
      </c>
      <c r="B181" t="inlineStr">
        <is>
          <t>Tata Steel Limited</t>
        </is>
      </c>
      <c r="C181" t="n">
        <v>1</v>
      </c>
      <c r="D181" s="2" t="n">
        <v>0</v>
      </c>
      <c r="E181" s="2" t="n">
        <v>1400</v>
      </c>
      <c r="F181" s="2" t="n">
        <v>100750.5</v>
      </c>
      <c r="G181" s="2" t="n">
        <v>13949</v>
      </c>
      <c r="H181" t="inlineStr">
        <is>
          <t>India</t>
        </is>
      </c>
      <c r="I181" t="inlineStr">
        <is>
          <t>USD</t>
        </is>
      </c>
      <c r="J181" t="inlineStr">
        <is>
          <t>Komatsu</t>
        </is>
      </c>
      <c r="K181" t="inlineStr">
        <is>
          <t>HD785-7</t>
        </is>
      </c>
      <c r="L181" s="4">
        <f>$D181*IF($I181="AUD",Assumptions!$B$2,Assumptions!$B$3)*Assumptions!$B$4</f>
        <v/>
      </c>
      <c r="M181" s="4">
        <f>$E181*IF($I181="AUD",Assumptions!$B$2,Assumptions!$B$3)*Assumptions!$B$4</f>
        <v/>
      </c>
      <c r="N181" s="4">
        <f>$F181*IF($I181="AUD",Assumptions!$B$2,Assumptions!$B$3)*Assumptions!$B$4</f>
        <v/>
      </c>
    </row>
    <row r="182">
      <c r="A182" t="inlineStr">
        <is>
          <t>TATA STEEL KOMATSU HD785-7 ULTIMA ULTIMA TRUCK BODY</t>
        </is>
      </c>
      <c r="B182" t="inlineStr">
        <is>
          <t>Tata Steel Limited</t>
        </is>
      </c>
      <c r="C182" t="n">
        <v>4</v>
      </c>
      <c r="D182" s="2" t="n">
        <v>0</v>
      </c>
      <c r="E182" s="2" t="n">
        <v>5600</v>
      </c>
      <c r="F182" s="2" t="n">
        <v>403002</v>
      </c>
      <c r="G182" s="2" t="n">
        <v>55796</v>
      </c>
      <c r="H182" t="inlineStr">
        <is>
          <t>India</t>
        </is>
      </c>
      <c r="I182" t="inlineStr">
        <is>
          <t>USD</t>
        </is>
      </c>
      <c r="J182" t="inlineStr">
        <is>
          <t>Komatsu</t>
        </is>
      </c>
      <c r="K182" t="inlineStr">
        <is>
          <t>HD785-7</t>
        </is>
      </c>
      <c r="L182" s="4">
        <f>$D182*IF($I182="AUD",Assumptions!$B$2,Assumptions!$B$3)*Assumptions!$B$4</f>
        <v/>
      </c>
      <c r="M182" s="4">
        <f>$E182*IF($I182="AUD",Assumptions!$B$2,Assumptions!$B$3)*Assumptions!$B$4</f>
        <v/>
      </c>
      <c r="N182" s="4">
        <f>$F182*IF($I182="AUD",Assumptions!$B$2,Assumptions!$B$3)*Assumptions!$B$4</f>
        <v/>
      </c>
    </row>
    <row r="183">
      <c r="A183" t="inlineStr">
        <is>
          <t>TATA STEEL KOMATSU HD785-7 ULTIMA ULTIMA TRUCK BODY</t>
        </is>
      </c>
      <c r="B183" t="inlineStr">
        <is>
          <t>Tata Steel Limited</t>
        </is>
      </c>
      <c r="C183" t="n">
        <v>4</v>
      </c>
      <c r="D183" s="2" t="n">
        <v>0</v>
      </c>
      <c r="E183" s="2" t="n">
        <v>5600</v>
      </c>
      <c r="F183" s="2" t="n">
        <v>403002</v>
      </c>
      <c r="G183" s="2" t="n">
        <v>55796</v>
      </c>
      <c r="H183" t="inlineStr">
        <is>
          <t>India</t>
        </is>
      </c>
      <c r="I183" t="inlineStr">
        <is>
          <t>USD</t>
        </is>
      </c>
      <c r="J183" t="inlineStr">
        <is>
          <t>Komatsu</t>
        </is>
      </c>
      <c r="K183" t="inlineStr">
        <is>
          <t>HD785-7</t>
        </is>
      </c>
      <c r="L183" s="4">
        <f>$D183*IF($I183="AUD",Assumptions!$B$2,Assumptions!$B$3)*Assumptions!$B$4</f>
        <v/>
      </c>
      <c r="M183" s="4">
        <f>$E183*IF($I183="AUD",Assumptions!$B$2,Assumptions!$B$3)*Assumptions!$B$4</f>
        <v/>
      </c>
      <c r="N183" s="4">
        <f>$F183*IF($I183="AUD",Assumptions!$B$2,Assumptions!$B$3)*Assumptions!$B$4</f>
        <v/>
      </c>
    </row>
    <row r="184">
      <c r="A184" t="inlineStr">
        <is>
          <t>TATA STEEL KOMATSU HD785-7 ULTIMA ULTIMA TRUCK BODY</t>
        </is>
      </c>
      <c r="B184" t="inlineStr">
        <is>
          <t>Tata Steel Limited</t>
        </is>
      </c>
      <c r="C184" t="n">
        <v>4</v>
      </c>
      <c r="D184" s="2" t="n">
        <v>0</v>
      </c>
      <c r="E184" s="2" t="n">
        <v>5600</v>
      </c>
      <c r="F184" s="2" t="n">
        <v>403002</v>
      </c>
      <c r="G184" s="2" t="n">
        <v>55796</v>
      </c>
      <c r="H184" t="inlineStr">
        <is>
          <t>India</t>
        </is>
      </c>
      <c r="I184" t="inlineStr">
        <is>
          <t>USD</t>
        </is>
      </c>
      <c r="J184" t="inlineStr">
        <is>
          <t>Komatsu</t>
        </is>
      </c>
      <c r="K184" t="inlineStr">
        <is>
          <t>HD785-7</t>
        </is>
      </c>
      <c r="L184" s="4">
        <f>$D184*IF($I184="AUD",Assumptions!$B$2,Assumptions!$B$3)*Assumptions!$B$4</f>
        <v/>
      </c>
      <c r="M184" s="4">
        <f>$E184*IF($I184="AUD",Assumptions!$B$2,Assumptions!$B$3)*Assumptions!$B$4</f>
        <v/>
      </c>
      <c r="N184" s="4">
        <f>$F184*IF($I184="AUD",Assumptions!$B$2,Assumptions!$B$3)*Assumptions!$B$4</f>
        <v/>
      </c>
    </row>
    <row r="185">
      <c r="A185" t="inlineStr">
        <is>
          <t>AUSTIN 930E-4 LW ULTIMA TRUCK BEDS AND COMPONENT : B</t>
        </is>
      </c>
      <c r="B185" t="inlineStr">
        <is>
          <t>Newmont Mexico Minera Penasquito</t>
        </is>
      </c>
      <c r="C185" t="n">
        <v>4</v>
      </c>
      <c r="D185" s="2" t="n">
        <v>4180.54</v>
      </c>
      <c r="E185" s="2" t="n">
        <v>98031.3</v>
      </c>
      <c r="F185" s="2" t="n">
        <v>1759990</v>
      </c>
      <c r="G185" s="2" t="n">
        <v>132487</v>
      </c>
      <c r="H185" t="inlineStr">
        <is>
          <t>Mexico</t>
        </is>
      </c>
      <c r="I185" t="inlineStr">
        <is>
          <t>USD</t>
        </is>
      </c>
      <c r="J185" t="inlineStr">
        <is>
          <t>Komatsu</t>
        </is>
      </c>
      <c r="K185" t="inlineStr">
        <is>
          <t>930E</t>
        </is>
      </c>
      <c r="L185" s="4">
        <f>$D185*IF($I185="AUD",Assumptions!$B$2,Assumptions!$B$3)*Assumptions!$B$4</f>
        <v/>
      </c>
      <c r="M185" s="4">
        <f>$E185*IF($I185="AUD",Assumptions!$B$2,Assumptions!$B$3)*Assumptions!$B$4</f>
        <v/>
      </c>
      <c r="N185" s="4">
        <f>$F185*IF($I185="AUD",Assumptions!$B$2,Assumptions!$B$3)*Assumptions!$B$4</f>
        <v/>
      </c>
    </row>
  </sheetData>
  <autoFilter ref="A1:N18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64" customWidth="1" min="3" max="3"/>
  </cols>
  <sheetData>
    <row r="1">
      <c r="A1" s="5" t="inlineStr">
        <is>
          <t>Assumption</t>
        </is>
      </c>
      <c r="B1" s="5" t="inlineStr">
        <is>
          <t>Value</t>
        </is>
      </c>
      <c r="C1" s="5" t="inlineStr">
        <is>
          <t>Note</t>
        </is>
      </c>
    </row>
    <row r="2">
      <c r="A2" s="6" t="inlineStr">
        <is>
          <t>AUD to USD rate</t>
        </is>
      </c>
      <c r="B2" s="7" t="n">
        <v>0.7</v>
      </c>
      <c r="C2" s="8" t="inlineStr">
        <is>
          <t>Applied to AUD rows. Edit B2 to refresh every sheet.</t>
        </is>
      </c>
    </row>
    <row r="3">
      <c r="A3" s="6" t="inlineStr">
        <is>
          <t>USD to USD</t>
        </is>
      </c>
      <c r="B3" s="9" t="n">
        <v>1</v>
      </c>
      <c r="C3" s="8" t="inlineStr">
        <is>
          <t>No conversion.</t>
        </is>
      </c>
    </row>
    <row r="4">
      <c r="A4" s="6" t="inlineStr">
        <is>
          <t>USD to IDR rate</t>
        </is>
      </c>
      <c r="B4" s="10" t="n">
        <v>17500</v>
      </c>
      <c r="C4" s="8" t="inlineStr">
        <is>
          <t>Applied to all USD Value to get Value IDR. Edit B4 to refresh every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2026-09-28T15:49:28Z</dcterms:created>
  <dcterms:modified xmlns:dcterms="http://purl.org/dc/terms/" xmlns:xsi="http://www.w3.org/2001/XMLSchema-instance" xsi:type="dcterms:W3CDTF">2026-09-28T16:17:22Z</dcterms:modified>
</cp:coreProperties>
</file>